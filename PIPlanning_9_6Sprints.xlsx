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vganesan2\Downloads\"/>
    </mc:Choice>
  </mc:AlternateContent>
  <xr:revisionPtr revIDLastSave="0" documentId="8_{0AD76DEC-837F-40B3-9BA0-F29FA8919CB5}" xr6:coauthVersionLast="47" xr6:coauthVersionMax="47" xr10:uidLastSave="{00000000-0000-0000-0000-000000000000}"/>
  <bookViews>
    <workbookView xWindow="-120" yWindow="-120" windowWidth="29040" windowHeight="15840" tabRatio="817" firstSheet="1" activeTab="3" xr2:uid="{0D640218-ED79-4327-8C38-5478184C7C58}"/>
  </bookViews>
  <sheets>
    <sheet name="Sheet1" sheetId="6" state="hidden" r:id="rId1"/>
    <sheet name="Start Here" sheetId="33" r:id="rId2"/>
    <sheet name="Resource Planning" sheetId="5" r:id="rId3"/>
    <sheet name="ResourceAllocationByPriority" sheetId="37" r:id="rId4"/>
    <sheet name="Sheet2" sheetId="38" r:id="rId5"/>
    <sheet name="HistorySP" sheetId="34" r:id="rId6"/>
    <sheet name="ProgramPriorityFeatures" sheetId="35" r:id="rId7"/>
    <sheet name="PI Commitments" sheetId="1" r:id="rId8"/>
    <sheet name="Team" sheetId="4" r:id="rId9"/>
    <sheet name="PIPlanningSessionBestPractices" sheetId="36" r:id="rId10"/>
    <sheet name="Objectives(opt)" sheetId="16" r:id="rId11"/>
    <sheet name="Summary(not being used)" sheetId="10" r:id="rId12"/>
    <sheet name="PI Progress(not being used)" sheetId="14" r:id="rId13"/>
    <sheet name="Raw Data(not being used)" sheetId="31" r:id="rId14"/>
    <sheet name="Sprint Goals" sheetId="32" r:id="rId15"/>
  </sheets>
  <definedNames>
    <definedName name="_xlnm._FilterDatabase" localSheetId="7" hidden="1">'PI Commitments'!$A$2:$AH$66</definedName>
    <definedName name="_xlnm._FilterDatabase" localSheetId="2" hidden="1">'Resource Planning'!$C$2:$J$24</definedName>
    <definedName name="_xlnm._FilterDatabase" localSheetId="3" hidden="1">ResourceAllocationByPriority!$B$2:$N$38</definedName>
    <definedName name="_xlnm._FilterDatabase" localSheetId="0" hidden="1">Sheet1!$A$1:$L$96</definedName>
    <definedName name="Teams" localSheetId="10">#REF!</definedName>
    <definedName name="Teams">'PI Commitments'!$AH$3:$AH$93</definedName>
  </definedNames>
  <calcPr calcId="191028"/>
  <pivotCaches>
    <pivotCache cacheId="18" r:id="rId16"/>
    <pivotCache cacheId="19" r:id="rId17"/>
    <pivotCache cacheId="2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I21" i="1" l="1"/>
  <c r="I22" i="1"/>
  <c r="I23" i="1"/>
  <c r="X23" i="1"/>
  <c r="S23" i="1"/>
  <c r="K23" i="1"/>
  <c r="Y14" i="1"/>
  <c r="Y18" i="1"/>
  <c r="Y19" i="1"/>
  <c r="Y20" i="1"/>
  <c r="Y21" i="1"/>
  <c r="Y25" i="1"/>
  <c r="Y26" i="1"/>
  <c r="Y28" i="1"/>
  <c r="Y29" i="1"/>
  <c r="Y30" i="1"/>
  <c r="Y36" i="1"/>
  <c r="Y37" i="1"/>
  <c r="Y3" i="1"/>
  <c r="Y4" i="1"/>
  <c r="Y6" i="1"/>
  <c r="Y7" i="1"/>
  <c r="Y8" i="1"/>
  <c r="Y11" i="1"/>
  <c r="Y12" i="1"/>
  <c r="F10" i="5"/>
  <c r="B60" i="37"/>
  <c r="Y60" i="37"/>
  <c r="AC60" i="37"/>
  <c r="AK60" i="37"/>
  <c r="AO60" i="37"/>
  <c r="AS60" i="37"/>
  <c r="BA60" i="37"/>
  <c r="BB60" i="37" s="1"/>
  <c r="B50" i="37"/>
  <c r="B51" i="37"/>
  <c r="B52" i="37"/>
  <c r="B53" i="37"/>
  <c r="B54" i="37"/>
  <c r="B55" i="37"/>
  <c r="B56" i="37"/>
  <c r="B57" i="37"/>
  <c r="B58" i="37"/>
  <c r="B59" i="37"/>
  <c r="U64" i="1"/>
  <c r="K22" i="1"/>
  <c r="T22" i="1" s="1"/>
  <c r="S22" i="1"/>
  <c r="I14" i="1"/>
  <c r="K14" i="1"/>
  <c r="T14" i="1" s="1"/>
  <c r="S14" i="1"/>
  <c r="AC14" i="1"/>
  <c r="AD14" i="1" s="1"/>
  <c r="I34" i="33"/>
  <c r="H34" i="33"/>
  <c r="I32" i="33"/>
  <c r="I33" i="33"/>
  <c r="H33" i="33"/>
  <c r="H32" i="33"/>
  <c r="G56" i="35"/>
  <c r="Y56" i="1"/>
  <c r="X56" i="1"/>
  <c r="S56" i="1"/>
  <c r="K56" i="1"/>
  <c r="I56" i="1"/>
  <c r="I63" i="1"/>
  <c r="I62" i="1"/>
  <c r="I61" i="1"/>
  <c r="I60" i="1"/>
  <c r="I59" i="1"/>
  <c r="I58" i="1"/>
  <c r="I57" i="1"/>
  <c r="I55" i="1"/>
  <c r="I54" i="1"/>
  <c r="I53" i="1"/>
  <c r="I52" i="1"/>
  <c r="I51" i="1"/>
  <c r="I50" i="1"/>
  <c r="I49" i="1"/>
  <c r="I48" i="1"/>
  <c r="I47" i="1"/>
  <c r="I46" i="1"/>
  <c r="I45" i="1"/>
  <c r="I44" i="1"/>
  <c r="I43" i="1"/>
  <c r="I42" i="1"/>
  <c r="I41" i="1"/>
  <c r="I40" i="1"/>
  <c r="I39" i="1"/>
  <c r="I38" i="1"/>
  <c r="I37" i="1"/>
  <c r="I36" i="1"/>
  <c r="I35" i="1"/>
  <c r="I24" i="1"/>
  <c r="I34" i="1"/>
  <c r="I33" i="1"/>
  <c r="I32" i="1"/>
  <c r="I31" i="1"/>
  <c r="I30" i="1"/>
  <c r="I29" i="1"/>
  <c r="I28" i="1"/>
  <c r="I27" i="1"/>
  <c r="I26" i="1"/>
  <c r="I25" i="1"/>
  <c r="I20" i="1"/>
  <c r="I19" i="1"/>
  <c r="I18" i="1"/>
  <c r="I17" i="1"/>
  <c r="I4" i="1"/>
  <c r="I5" i="1"/>
  <c r="I6" i="1"/>
  <c r="I7" i="1"/>
  <c r="I8" i="1"/>
  <c r="I9" i="1"/>
  <c r="I10" i="1"/>
  <c r="I11" i="1"/>
  <c r="I12" i="1"/>
  <c r="I13" i="1"/>
  <c r="I15" i="1"/>
  <c r="I16" i="1"/>
  <c r="I3" i="1"/>
  <c r="T23" i="1" l="1"/>
  <c r="T56" i="1"/>
  <c r="G68" i="35" l="1"/>
  <c r="H68" i="35" s="1"/>
  <c r="K3" i="5" l="1"/>
  <c r="K4" i="5"/>
  <c r="K5" i="5"/>
  <c r="K6" i="5"/>
  <c r="K7" i="5"/>
  <c r="K8" i="5"/>
  <c r="K9" i="5"/>
  <c r="K10" i="5"/>
  <c r="K11" i="5"/>
  <c r="K12" i="5"/>
  <c r="K13" i="5"/>
  <c r="K14" i="5"/>
  <c r="K15" i="5"/>
  <c r="J3" i="5"/>
  <c r="J4" i="5"/>
  <c r="J5" i="5"/>
  <c r="J6" i="5"/>
  <c r="J7" i="5"/>
  <c r="J8" i="5"/>
  <c r="J9" i="5"/>
  <c r="J10" i="5"/>
  <c r="J11" i="5"/>
  <c r="J12" i="5"/>
  <c r="J13" i="5"/>
  <c r="J14" i="5"/>
  <c r="J15" i="5"/>
  <c r="J16" i="5"/>
  <c r="J17" i="5"/>
  <c r="J18" i="5"/>
  <c r="J19" i="5"/>
  <c r="J20" i="5"/>
  <c r="J21" i="5"/>
  <c r="J22" i="5"/>
  <c r="J23" i="5"/>
  <c r="J24" i="5"/>
  <c r="J25" i="5"/>
  <c r="J26" i="5"/>
  <c r="J27" i="5"/>
  <c r="I3" i="5"/>
  <c r="I4" i="5"/>
  <c r="I5" i="5"/>
  <c r="I6" i="5"/>
  <c r="I7" i="5"/>
  <c r="I8" i="5"/>
  <c r="I9" i="5"/>
  <c r="I10" i="5"/>
  <c r="I11" i="5"/>
  <c r="I12" i="5"/>
  <c r="I13" i="5"/>
  <c r="I14" i="5"/>
  <c r="I15" i="5"/>
  <c r="H3" i="5"/>
  <c r="H4" i="5"/>
  <c r="H5" i="5"/>
  <c r="H6" i="5"/>
  <c r="L6" i="5" s="1"/>
  <c r="H7" i="5"/>
  <c r="H8" i="5"/>
  <c r="H9" i="5"/>
  <c r="H10" i="5"/>
  <c r="H11" i="5"/>
  <c r="H12" i="5"/>
  <c r="H13" i="5"/>
  <c r="H14" i="5"/>
  <c r="H15" i="5"/>
  <c r="G3" i="5"/>
  <c r="G4" i="5"/>
  <c r="G5" i="5"/>
  <c r="G6" i="5"/>
  <c r="G7" i="5"/>
  <c r="G8" i="5"/>
  <c r="G9" i="5"/>
  <c r="G10" i="5"/>
  <c r="G11" i="5"/>
  <c r="G12" i="5"/>
  <c r="G13" i="5"/>
  <c r="G14" i="5"/>
  <c r="G15" i="5"/>
  <c r="F3" i="5"/>
  <c r="F4" i="5"/>
  <c r="F5" i="5"/>
  <c r="F6" i="5"/>
  <c r="F7" i="5"/>
  <c r="F8" i="5"/>
  <c r="F9" i="5"/>
  <c r="F11" i="5"/>
  <c r="F12" i="5"/>
  <c r="F13" i="5"/>
  <c r="F14" i="5"/>
  <c r="F15" i="5"/>
  <c r="M49" i="5"/>
  <c r="O49" i="5"/>
  <c r="M50" i="5"/>
  <c r="O50" i="5"/>
  <c r="M51" i="5"/>
  <c r="O51" i="5"/>
  <c r="M52" i="5"/>
  <c r="O52" i="5"/>
  <c r="M53" i="5"/>
  <c r="O53" i="5"/>
  <c r="O48" i="5"/>
  <c r="M48" i="5"/>
  <c r="AS46" i="37"/>
  <c r="AS47" i="37"/>
  <c r="AS48" i="37"/>
  <c r="AS49" i="37"/>
  <c r="AS50" i="37"/>
  <c r="AS51" i="37"/>
  <c r="AS52" i="37"/>
  <c r="AS53" i="37"/>
  <c r="AS54" i="37"/>
  <c r="AS55" i="37"/>
  <c r="AS56" i="37"/>
  <c r="AS57" i="37"/>
  <c r="AS58" i="37"/>
  <c r="AS59" i="37"/>
  <c r="AO46" i="37"/>
  <c r="AO47" i="37"/>
  <c r="AO48" i="37"/>
  <c r="AO49" i="37"/>
  <c r="AO50" i="37"/>
  <c r="AO51" i="37"/>
  <c r="AO52" i="37"/>
  <c r="AO53" i="37"/>
  <c r="AO54" i="37"/>
  <c r="AO55" i="37"/>
  <c r="AO56" i="37"/>
  <c r="AO57" i="37"/>
  <c r="AO58" i="37"/>
  <c r="AO59" i="37"/>
  <c r="AK46" i="37"/>
  <c r="AK47" i="37"/>
  <c r="AK48" i="37"/>
  <c r="AK49" i="37"/>
  <c r="AK50" i="37"/>
  <c r="AK51" i="37"/>
  <c r="AK52" i="37"/>
  <c r="AK53" i="37"/>
  <c r="AK54" i="37"/>
  <c r="AK55" i="37"/>
  <c r="AK56" i="37"/>
  <c r="AK57" i="37"/>
  <c r="AK58" i="37"/>
  <c r="AK59" i="37"/>
  <c r="K16" i="5"/>
  <c r="K17" i="5"/>
  <c r="K18" i="5"/>
  <c r="K19" i="5"/>
  <c r="K20" i="5"/>
  <c r="K21" i="5"/>
  <c r="K22" i="5"/>
  <c r="K23" i="5"/>
  <c r="K24" i="5"/>
  <c r="K25" i="5"/>
  <c r="K26" i="5"/>
  <c r="K27" i="5"/>
  <c r="I16" i="5"/>
  <c r="I17" i="5"/>
  <c r="I18" i="5"/>
  <c r="I19" i="5"/>
  <c r="I20" i="5"/>
  <c r="I21" i="5"/>
  <c r="I22" i="5"/>
  <c r="I23" i="5"/>
  <c r="I24" i="5"/>
  <c r="I25" i="5"/>
  <c r="I26" i="5"/>
  <c r="I27" i="5"/>
  <c r="AC46" i="37"/>
  <c r="AC47" i="37"/>
  <c r="AC48" i="37"/>
  <c r="AC49" i="37"/>
  <c r="AC50" i="37"/>
  <c r="AC51" i="37"/>
  <c r="AC52" i="37"/>
  <c r="AC53" i="37"/>
  <c r="AC54" i="37"/>
  <c r="AC55" i="37"/>
  <c r="AC56" i="37"/>
  <c r="AC57" i="37"/>
  <c r="AC58" i="37"/>
  <c r="AC59" i="37"/>
  <c r="H16" i="5"/>
  <c r="H17" i="5"/>
  <c r="H18" i="5"/>
  <c r="H19" i="5"/>
  <c r="H20" i="5"/>
  <c r="H21" i="5"/>
  <c r="H22" i="5"/>
  <c r="H23" i="5"/>
  <c r="H24" i="5"/>
  <c r="H25" i="5"/>
  <c r="H26" i="5"/>
  <c r="H27" i="5"/>
  <c r="G16" i="5"/>
  <c r="G17" i="5"/>
  <c r="G18" i="5"/>
  <c r="G19" i="5"/>
  <c r="G20" i="5"/>
  <c r="G21" i="5"/>
  <c r="G22" i="5"/>
  <c r="G23" i="5"/>
  <c r="G24" i="5"/>
  <c r="G25" i="5"/>
  <c r="G26" i="5"/>
  <c r="G27" i="5"/>
  <c r="F16" i="5"/>
  <c r="F17" i="5"/>
  <c r="M17" i="5" s="1"/>
  <c r="AR71" i="37" s="1"/>
  <c r="F18" i="5"/>
  <c r="M18" i="5" s="1"/>
  <c r="F19" i="5"/>
  <c r="F20" i="5"/>
  <c r="F21" i="5"/>
  <c r="F22" i="5"/>
  <c r="F23" i="5"/>
  <c r="F24" i="5"/>
  <c r="F25" i="5"/>
  <c r="M25" i="5" s="1"/>
  <c r="F26" i="5"/>
  <c r="M26" i="5" s="1"/>
  <c r="F27" i="5"/>
  <c r="M23" i="5" l="1"/>
  <c r="M24" i="5"/>
  <c r="M16" i="5"/>
  <c r="AN71" i="37" s="1"/>
  <c r="L5" i="5"/>
  <c r="L4" i="5"/>
  <c r="M22" i="5"/>
  <c r="L9" i="5"/>
  <c r="M21" i="5"/>
  <c r="M20" i="5"/>
  <c r="M27" i="5"/>
  <c r="M19" i="5"/>
  <c r="L12" i="5"/>
  <c r="L13" i="5"/>
  <c r="L11" i="5"/>
  <c r="L3" i="5"/>
  <c r="L10" i="5"/>
  <c r="L14" i="5"/>
  <c r="L8" i="5"/>
  <c r="L15" i="5"/>
  <c r="L7" i="5"/>
  <c r="L22" i="5"/>
  <c r="L16" i="5"/>
  <c r="L23" i="5"/>
  <c r="L21" i="5"/>
  <c r="L20" i="5"/>
  <c r="L27" i="5"/>
  <c r="L19" i="5"/>
  <c r="L26" i="5"/>
  <c r="L18" i="5"/>
  <c r="L25" i="5"/>
  <c r="L17" i="5"/>
  <c r="L24" i="5"/>
  <c r="M14" i="5"/>
  <c r="M15" i="5"/>
  <c r="B46" i="37" l="1"/>
  <c r="B47" i="37"/>
  <c r="B48" i="37"/>
  <c r="B49" i="37"/>
  <c r="B45" i="37"/>
  <c r="K18" i="33"/>
  <c r="L18" i="33"/>
  <c r="K19" i="33"/>
  <c r="L19" i="33"/>
  <c r="K20" i="33"/>
  <c r="L20" i="33"/>
  <c r="K14" i="33"/>
  <c r="L14" i="33"/>
  <c r="K15" i="33"/>
  <c r="L15" i="33"/>
  <c r="K16" i="33"/>
  <c r="L16" i="33"/>
  <c r="K10" i="33"/>
  <c r="L10" i="33"/>
  <c r="K11" i="33"/>
  <c r="L11" i="33"/>
  <c r="K12" i="33"/>
  <c r="L12" i="33"/>
  <c r="K6" i="33"/>
  <c r="L6" i="33"/>
  <c r="K7" i="33"/>
  <c r="L7" i="33"/>
  <c r="K8" i="33"/>
  <c r="L8" i="33"/>
  <c r="L2" i="33"/>
  <c r="K2" i="33"/>
  <c r="L3" i="33"/>
  <c r="K3" i="33"/>
  <c r="K4" i="33"/>
  <c r="L4" i="33"/>
  <c r="C35" i="37"/>
  <c r="Q15" i="37"/>
  <c r="F1" i="5"/>
  <c r="G1" i="5" s="1"/>
  <c r="H1" i="5" s="1"/>
  <c r="I1" i="5" s="1"/>
  <c r="J1" i="5" s="1"/>
  <c r="K1" i="5" s="1"/>
  <c r="M3" i="5"/>
  <c r="M4" i="5"/>
  <c r="M5" i="5"/>
  <c r="M6" i="5"/>
  <c r="M7" i="5"/>
  <c r="AZ71" i="37" s="1"/>
  <c r="BB71" i="37" s="1"/>
  <c r="M8" i="5"/>
  <c r="M9" i="5"/>
  <c r="M10" i="5"/>
  <c r="M11" i="5"/>
  <c r="M12" i="5"/>
  <c r="M13" i="5"/>
  <c r="Q7" i="37"/>
  <c r="AU65" i="37"/>
  <c r="AQ65" i="37"/>
  <c r="AM65" i="37"/>
  <c r="AI65" i="37"/>
  <c r="AE65" i="37"/>
  <c r="AA65" i="37"/>
  <c r="W65" i="37"/>
  <c r="S65" i="37"/>
  <c r="O65" i="37"/>
  <c r="K65" i="37"/>
  <c r="G65" i="37"/>
  <c r="C65" i="37"/>
  <c r="F49" i="38"/>
  <c r="F48" i="38"/>
  <c r="F47" i="38"/>
  <c r="F46" i="38"/>
  <c r="F45" i="38"/>
  <c r="F44" i="38"/>
  <c r="F43" i="38"/>
  <c r="F42" i="38"/>
  <c r="F41" i="38"/>
  <c r="F40" i="38"/>
  <c r="F39" i="38"/>
  <c r="F38" i="38"/>
  <c r="F37" i="38"/>
  <c r="F36" i="38"/>
  <c r="F35" i="38"/>
  <c r="F34" i="38"/>
  <c r="F33" i="38"/>
  <c r="F32" i="38"/>
  <c r="F31" i="38"/>
  <c r="F30" i="38"/>
  <c r="F29" i="38"/>
  <c r="F28" i="38"/>
  <c r="F27" i="38"/>
  <c r="F26" i="38"/>
  <c r="F25" i="38"/>
  <c r="F24" i="38"/>
  <c r="F23" i="38"/>
  <c r="F22" i="38"/>
  <c r="F21" i="38"/>
  <c r="F20" i="38"/>
  <c r="F19" i="38"/>
  <c r="F18" i="38"/>
  <c r="F17" i="38"/>
  <c r="F16" i="38"/>
  <c r="F15" i="38"/>
  <c r="F14" i="38"/>
  <c r="F13" i="38"/>
  <c r="F12" i="38"/>
  <c r="F11" i="38"/>
  <c r="F10" i="38"/>
  <c r="F9" i="38"/>
  <c r="F8" i="38"/>
  <c r="F7" i="38"/>
  <c r="F6" i="38" a="1"/>
  <c r="F6" i="38" s="1"/>
  <c r="F5" i="38" a="1"/>
  <c r="F5" i="38" s="1"/>
  <c r="F4" i="38" a="1"/>
  <c r="F4" i="38" s="1"/>
  <c r="F3" i="38" a="1"/>
  <c r="F3" i="38" s="1"/>
  <c r="F2" i="38" a="1"/>
  <c r="F2" i="38" s="1"/>
  <c r="BA46" i="37"/>
  <c r="BA47" i="37"/>
  <c r="BA48" i="37"/>
  <c r="BB48" i="37" s="1"/>
  <c r="BA49" i="37"/>
  <c r="BB49" i="37" s="1"/>
  <c r="BA53" i="37"/>
  <c r="BA54" i="37"/>
  <c r="BA55" i="37"/>
  <c r="BA56" i="37"/>
  <c r="BA57" i="37"/>
  <c r="BA58" i="37"/>
  <c r="BA59" i="37"/>
  <c r="BA45" i="37"/>
  <c r="AK45" i="37"/>
  <c r="Y53" i="37"/>
  <c r="Y54" i="37"/>
  <c r="Y55" i="37"/>
  <c r="Y56" i="37"/>
  <c r="Y57" i="37"/>
  <c r="Y58" i="37"/>
  <c r="Y59" i="37"/>
  <c r="Y48" i="37"/>
  <c r="Y49" i="37"/>
  <c r="AW48" i="37"/>
  <c r="Y47" i="37"/>
  <c r="AW47" i="37"/>
  <c r="Y46" i="37"/>
  <c r="AW46" i="37"/>
  <c r="Y45" i="37"/>
  <c r="AC45" i="37"/>
  <c r="AO45" i="37"/>
  <c r="AS45" i="37"/>
  <c r="AW45" i="37"/>
  <c r="AU44" i="37"/>
  <c r="AQ44" i="37"/>
  <c r="AM44" i="37"/>
  <c r="AI44" i="37"/>
  <c r="AE44" i="37"/>
  <c r="AA44" i="37"/>
  <c r="W44" i="37"/>
  <c r="S44" i="37"/>
  <c r="O44" i="37"/>
  <c r="K44" i="37"/>
  <c r="G44" i="37"/>
  <c r="C44" i="37"/>
  <c r="AV70" i="37" l="1"/>
  <c r="AV71" i="37"/>
  <c r="AX71" i="37" s="1"/>
  <c r="AB67" i="37"/>
  <c r="AB71" i="37"/>
  <c r="AD71" i="37" s="1"/>
  <c r="T71" i="37"/>
  <c r="T67" i="37"/>
  <c r="V67" i="37" s="1"/>
  <c r="T68" i="37"/>
  <c r="V68" i="37" s="1"/>
  <c r="T69" i="37"/>
  <c r="T70" i="37"/>
  <c r="D71" i="37"/>
  <c r="D67" i="37"/>
  <c r="D68" i="37"/>
  <c r="D69" i="37"/>
  <c r="D70" i="37"/>
  <c r="D66" i="37"/>
  <c r="F66" i="37" s="1"/>
  <c r="AJ69" i="37"/>
  <c r="AL69" i="37" s="1"/>
  <c r="AJ71" i="37"/>
  <c r="H71" i="37"/>
  <c r="H68" i="37"/>
  <c r="H69" i="37"/>
  <c r="H70" i="37"/>
  <c r="H67" i="37"/>
  <c r="L66" i="37"/>
  <c r="N66" i="37" s="1"/>
  <c r="L71" i="37"/>
  <c r="L67" i="37"/>
  <c r="L68" i="37"/>
  <c r="L69" i="37"/>
  <c r="L70" i="37"/>
  <c r="AF67" i="37"/>
  <c r="AF71" i="37"/>
  <c r="X70" i="37"/>
  <c r="X71" i="37"/>
  <c r="P71" i="37"/>
  <c r="P70" i="37"/>
  <c r="P67" i="37"/>
  <c r="P68" i="37"/>
  <c r="R68" i="37" s="1"/>
  <c r="P69" i="37"/>
  <c r="J7" i="37"/>
  <c r="AZ70" i="37"/>
  <c r="BB70" i="37" s="1"/>
  <c r="AV67" i="37"/>
  <c r="AX67" i="37" s="1"/>
  <c r="AZ69" i="37"/>
  <c r="BB69" i="37" s="1"/>
  <c r="AZ66" i="37"/>
  <c r="BB66" i="37" s="1"/>
  <c r="AZ67" i="37"/>
  <c r="BB67" i="37" s="1"/>
  <c r="AZ68" i="37"/>
  <c r="AF66" i="37"/>
  <c r="AH66" i="37" s="1"/>
  <c r="AB66" i="37"/>
  <c r="AD66" i="37" s="1"/>
  <c r="J13" i="37"/>
  <c r="AB70" i="37"/>
  <c r="AD70" i="37" s="1"/>
  <c r="P66" i="37"/>
  <c r="R66" i="37" s="1"/>
  <c r="J12" i="37"/>
  <c r="J4" i="37"/>
  <c r="P7" i="38" s="1"/>
  <c r="R7" i="38" s="1"/>
  <c r="N67" i="37"/>
  <c r="J8" i="37"/>
  <c r="AF68" i="37"/>
  <c r="AH68" i="37" s="1"/>
  <c r="J5" i="37"/>
  <c r="P22" i="38" s="1"/>
  <c r="R22" i="38" s="1"/>
  <c r="AJ68" i="37"/>
  <c r="AL68" i="37" s="1"/>
  <c r="V69" i="37"/>
  <c r="AV69" i="37"/>
  <c r="AX69" i="37" s="1"/>
  <c r="R67" i="37"/>
  <c r="AX70" i="37"/>
  <c r="F68" i="37"/>
  <c r="X69" i="37"/>
  <c r="Z69" i="37" s="1"/>
  <c r="F67" i="37"/>
  <c r="N69" i="37"/>
  <c r="T66" i="37"/>
  <c r="V66" i="37" s="1"/>
  <c r="X68" i="37"/>
  <c r="Z68" i="37" s="1"/>
  <c r="AF70" i="37"/>
  <c r="AJ67" i="37"/>
  <c r="AL67" i="37" s="1"/>
  <c r="J3" i="37"/>
  <c r="P4" i="38" s="1"/>
  <c r="R4" i="38" s="1"/>
  <c r="J6" i="37"/>
  <c r="H66" i="37"/>
  <c r="J66" i="37" s="1"/>
  <c r="N68" i="37"/>
  <c r="X66" i="37"/>
  <c r="Z66" i="37" s="1"/>
  <c r="X67" i="37"/>
  <c r="Z67" i="37" s="1"/>
  <c r="AF69" i="37"/>
  <c r="AH69" i="37" s="1"/>
  <c r="AV66" i="37"/>
  <c r="AX66" i="37" s="1"/>
  <c r="J69" i="37"/>
  <c r="J11" i="37"/>
  <c r="J68" i="37"/>
  <c r="AB69" i="37"/>
  <c r="AD69" i="37" s="1"/>
  <c r="AJ66" i="37"/>
  <c r="AL66" i="37" s="1"/>
  <c r="AV68" i="37"/>
  <c r="AX68" i="37" s="1"/>
  <c r="J10" i="37"/>
  <c r="AD67" i="37" s="1"/>
  <c r="R69" i="37"/>
  <c r="AB68" i="37"/>
  <c r="AD68" i="37" s="1"/>
  <c r="AJ70" i="37"/>
  <c r="J9" i="37"/>
  <c r="C26" i="37"/>
  <c r="Q6" i="37"/>
  <c r="Q11" i="37"/>
  <c r="C31" i="37"/>
  <c r="Q9" i="37"/>
  <c r="C29" i="37"/>
  <c r="C25" i="37"/>
  <c r="Q5" i="37"/>
  <c r="Q12" i="37"/>
  <c r="C32" i="37"/>
  <c r="AR70" i="37"/>
  <c r="AR67" i="37"/>
  <c r="AT67" i="37" s="1"/>
  <c r="Q4" i="37"/>
  <c r="AR68" i="37"/>
  <c r="AT68" i="37" s="1"/>
  <c r="C24" i="37"/>
  <c r="AR69" i="37"/>
  <c r="AT69" i="37" s="1"/>
  <c r="AR66" i="37"/>
  <c r="AT66" i="37" s="1"/>
  <c r="Q14" i="37"/>
  <c r="C34" i="37"/>
  <c r="Q10" i="37"/>
  <c r="C30" i="37"/>
  <c r="C28" i="37"/>
  <c r="Q8" i="37"/>
  <c r="C33" i="37"/>
  <c r="Q13" i="37"/>
  <c r="C27" i="37"/>
  <c r="AN70" i="37"/>
  <c r="AN66" i="37"/>
  <c r="AP66" i="37" s="1"/>
  <c r="C23" i="37"/>
  <c r="AN67" i="37"/>
  <c r="AP67" i="37" s="1"/>
  <c r="AN68" i="37"/>
  <c r="AP68" i="37" s="1"/>
  <c r="Q3" i="37"/>
  <c r="AN69" i="37"/>
  <c r="AP69" i="37" s="1"/>
  <c r="F69" i="37"/>
  <c r="AH67" i="37"/>
  <c r="J67" i="37"/>
  <c r="Y52" i="37"/>
  <c r="BA52" i="37"/>
  <c r="BA50" i="37"/>
  <c r="BB50" i="37" s="1"/>
  <c r="Y50" i="37"/>
  <c r="AW50" i="37"/>
  <c r="Y51" i="37"/>
  <c r="BA51" i="37"/>
  <c r="AB60" i="37" l="1"/>
  <c r="AD60" i="37" s="1"/>
  <c r="AV60" i="37"/>
  <c r="AX60" i="37" s="1"/>
  <c r="AN60" i="37"/>
  <c r="AP60" i="37" s="1"/>
  <c r="D60" i="37"/>
  <c r="F60" i="37" s="1"/>
  <c r="X60" i="37"/>
  <c r="Z60" i="37" s="1"/>
  <c r="H60" i="37"/>
  <c r="J60" i="37" s="1"/>
  <c r="AF60" i="37"/>
  <c r="AH60" i="37" s="1"/>
  <c r="L60" i="37"/>
  <c r="N60" i="37" s="1"/>
  <c r="AJ60" i="37"/>
  <c r="AL60" i="37" s="1"/>
  <c r="P60" i="37"/>
  <c r="R60" i="37" s="1"/>
  <c r="T60" i="37"/>
  <c r="V60" i="37" s="1"/>
  <c r="AR60" i="37"/>
  <c r="AT60" i="37" s="1"/>
  <c r="BC69" i="37"/>
  <c r="BC66" i="37"/>
  <c r="BC70" i="37"/>
  <c r="BC67" i="37"/>
  <c r="BC68" i="37"/>
  <c r="P5" i="38"/>
  <c r="R5" i="38" s="1"/>
  <c r="P24" i="38"/>
  <c r="R24" i="38" s="1"/>
  <c r="P3" i="38"/>
  <c r="R3" i="38" s="1"/>
  <c r="P16" i="38"/>
  <c r="R16" i="38" s="1"/>
  <c r="P2" i="38"/>
  <c r="R2" i="38" s="1"/>
  <c r="P21" i="38"/>
  <c r="R21" i="38" s="1"/>
  <c r="P15" i="38"/>
  <c r="R15" i="38" s="1"/>
  <c r="P11" i="38"/>
  <c r="R11" i="38" s="1"/>
  <c r="P14" i="38"/>
  <c r="R14" i="38" s="1"/>
  <c r="P17" i="38"/>
  <c r="R17" i="38" s="1"/>
  <c r="P6" i="38"/>
  <c r="R6" i="38" s="1"/>
  <c r="P9" i="38"/>
  <c r="R9" i="38" s="1"/>
  <c r="P20" i="38"/>
  <c r="R20" i="38" s="1"/>
  <c r="P23" i="38"/>
  <c r="R23" i="38" s="1"/>
  <c r="P18" i="38"/>
  <c r="R18" i="38" s="1"/>
  <c r="P13" i="38"/>
  <c r="R13" i="38" s="1"/>
  <c r="P10" i="38"/>
  <c r="R10" i="38" s="1"/>
  <c r="P19" i="38"/>
  <c r="R19" i="38" s="1"/>
  <c r="P8" i="38"/>
  <c r="R8" i="38" s="1"/>
  <c r="P12" i="38"/>
  <c r="R12" i="38" s="1"/>
  <c r="D54" i="37"/>
  <c r="D47" i="37"/>
  <c r="D55" i="37"/>
  <c r="D48" i="37"/>
  <c r="D56" i="37"/>
  <c r="D49" i="37"/>
  <c r="D57" i="37"/>
  <c r="D50" i="37"/>
  <c r="D58" i="37"/>
  <c r="D51" i="37"/>
  <c r="D59" i="37"/>
  <c r="D52" i="37"/>
  <c r="D53" i="37"/>
  <c r="E18" i="38"/>
  <c r="G18" i="38" s="1"/>
  <c r="E21" i="38"/>
  <c r="G21" i="38" s="1"/>
  <c r="E20" i="38"/>
  <c r="G20" i="38" s="1"/>
  <c r="E19" i="38"/>
  <c r="G19" i="38" s="1"/>
  <c r="E14" i="38"/>
  <c r="G14" i="38" s="1"/>
  <c r="E17" i="38"/>
  <c r="G17" i="38" s="1"/>
  <c r="E16" i="38"/>
  <c r="G16" i="38" s="1"/>
  <c r="E15" i="38"/>
  <c r="G15" i="38" s="1"/>
  <c r="E5" i="38"/>
  <c r="G5" i="38" s="1"/>
  <c r="E4" i="38"/>
  <c r="G4" i="38" s="1"/>
  <c r="E10" i="38"/>
  <c r="G10" i="38" s="1"/>
  <c r="E13" i="38"/>
  <c r="G13" i="38" s="1"/>
  <c r="E12" i="38"/>
  <c r="G12" i="38" s="1"/>
  <c r="E11" i="38"/>
  <c r="G11" i="38" s="1"/>
  <c r="BB59" i="37"/>
  <c r="BB52" i="37"/>
  <c r="BB58" i="37"/>
  <c r="BB51" i="37"/>
  <c r="BB47" i="37"/>
  <c r="BB57" i="37"/>
  <c r="BB56" i="37"/>
  <c r="BB46" i="37"/>
  <c r="BB55" i="37"/>
  <c r="BB45" i="37"/>
  <c r="BB54" i="37"/>
  <c r="BB53" i="37"/>
  <c r="BC60" i="37" l="1"/>
  <c r="M39" i="5"/>
  <c r="K33" i="1"/>
  <c r="T33" i="1" s="1"/>
  <c r="S33" i="1"/>
  <c r="V33" i="1"/>
  <c r="W33" i="1"/>
  <c r="AC17" i="1"/>
  <c r="AD17" i="1" s="1"/>
  <c r="K17" i="1"/>
  <c r="T17" i="1" s="1"/>
  <c r="S17" i="1"/>
  <c r="AC18" i="1"/>
  <c r="AD18" i="1" s="1"/>
  <c r="K18" i="1"/>
  <c r="T18" i="1" s="1"/>
  <c r="S18" i="1"/>
  <c r="X18" i="1"/>
  <c r="AC19" i="1"/>
  <c r="AD19" i="1" s="1"/>
  <c r="K19" i="1"/>
  <c r="T19" i="1" s="1"/>
  <c r="S19" i="1"/>
  <c r="X19" i="1"/>
  <c r="S40" i="1" l="1"/>
  <c r="AC8" i="1"/>
  <c r="AC7" i="1"/>
  <c r="Y45" i="1"/>
  <c r="Y46" i="1"/>
  <c r="Y52" i="1"/>
  <c r="Y53" i="1"/>
  <c r="Y57" i="1"/>
  <c r="Y59" i="1"/>
  <c r="Y60" i="1"/>
  <c r="Y61" i="1"/>
  <c r="Y63" i="1"/>
  <c r="Y64" i="1"/>
  <c r="Y65" i="1"/>
  <c r="S30" i="1"/>
  <c r="S31" i="1"/>
  <c r="S32" i="1"/>
  <c r="S34" i="1"/>
  <c r="S24" i="1"/>
  <c r="S35" i="1"/>
  <c r="S36" i="1"/>
  <c r="S37" i="1"/>
  <c r="S38" i="1"/>
  <c r="S39" i="1"/>
  <c r="S41" i="1"/>
  <c r="S42" i="1"/>
  <c r="S29" i="1"/>
  <c r="S28" i="1"/>
  <c r="E2" i="38" l="1"/>
  <c r="G2" i="38" s="1"/>
  <c r="E3" i="38"/>
  <c r="G3" i="38" s="1"/>
  <c r="AV55" i="37"/>
  <c r="AX55" i="37" s="1"/>
  <c r="F53" i="37"/>
  <c r="AJ49" i="37"/>
  <c r="AL49" i="37" s="1"/>
  <c r="H45" i="37"/>
  <c r="J45" i="37" s="1"/>
  <c r="X48" i="37"/>
  <c r="Z48" i="37" s="1"/>
  <c r="AB50" i="37"/>
  <c r="AD50" i="37" s="1"/>
  <c r="F56" i="37"/>
  <c r="X55" i="37"/>
  <c r="Z55" i="37" s="1"/>
  <c r="AJ55" i="37"/>
  <c r="AL55" i="37" s="1"/>
  <c r="T51" i="37"/>
  <c r="V51" i="37" s="1"/>
  <c r="T59" i="37"/>
  <c r="V59" i="37" s="1"/>
  <c r="P45" i="37"/>
  <c r="R45" i="37" s="1"/>
  <c r="AN56" i="37"/>
  <c r="AP56" i="37" s="1"/>
  <c r="T53" i="37"/>
  <c r="V53" i="37" s="1"/>
  <c r="AN57" i="37"/>
  <c r="AP57" i="37" s="1"/>
  <c r="T54" i="37"/>
  <c r="V54" i="37" s="1"/>
  <c r="AN58" i="37"/>
  <c r="AP58" i="37" s="1"/>
  <c r="T45" i="37"/>
  <c r="V45" i="37" s="1"/>
  <c r="AN52" i="37"/>
  <c r="AP52" i="37" s="1"/>
  <c r="T46" i="37"/>
  <c r="V46" i="37" s="1"/>
  <c r="AN53" i="37"/>
  <c r="AP53" i="37" s="1"/>
  <c r="T47" i="37"/>
  <c r="V47" i="37" s="1"/>
  <c r="AN54" i="37"/>
  <c r="AP54" i="37" s="1"/>
  <c r="AB57" i="37"/>
  <c r="AD57" i="37" s="1"/>
  <c r="F51" i="37"/>
  <c r="L51" i="37"/>
  <c r="N51" i="37" s="1"/>
  <c r="AJ56" i="37"/>
  <c r="AL56" i="37" s="1"/>
  <c r="L48" i="37"/>
  <c r="N48" i="37" s="1"/>
  <c r="AB49" i="37"/>
  <c r="AD49" i="37" s="1"/>
  <c r="D46" i="37"/>
  <c r="F46" i="37" s="1"/>
  <c r="T48" i="37"/>
  <c r="V48" i="37" s="1"/>
  <c r="T49" i="37"/>
  <c r="V49" i="37" s="1"/>
  <c r="AV50" i="37"/>
  <c r="AX50" i="37" s="1"/>
  <c r="F49" i="37"/>
  <c r="X59" i="37"/>
  <c r="Z59" i="37" s="1"/>
  <c r="P55" i="37"/>
  <c r="R55" i="37" s="1"/>
  <c r="AB59" i="37"/>
  <c r="AD59" i="37" s="1"/>
  <c r="AF55" i="37"/>
  <c r="AH55" i="37" s="1"/>
  <c r="T52" i="37"/>
  <c r="V52" i="37" s="1"/>
  <c r="AR52" i="37"/>
  <c r="AT52" i="37" s="1"/>
  <c r="X46" i="37"/>
  <c r="Z46" i="37" s="1"/>
  <c r="AR53" i="37"/>
  <c r="AT53" i="37" s="1"/>
  <c r="X47" i="37"/>
  <c r="Z47" i="37" s="1"/>
  <c r="AR54" i="37"/>
  <c r="AT54" i="37" s="1"/>
  <c r="T56" i="37"/>
  <c r="V56" i="37" s="1"/>
  <c r="AR45" i="37"/>
  <c r="AT45" i="37" s="1"/>
  <c r="T57" i="37"/>
  <c r="V57" i="37" s="1"/>
  <c r="AR46" i="37"/>
  <c r="AT46" i="37" s="1"/>
  <c r="T58" i="37"/>
  <c r="V58" i="37" s="1"/>
  <c r="AR47" i="37"/>
  <c r="AT47" i="37" s="1"/>
  <c r="H54" i="37"/>
  <c r="J54" i="37" s="1"/>
  <c r="P51" i="37"/>
  <c r="R51" i="37" s="1"/>
  <c r="AN47" i="37"/>
  <c r="AP47" i="37" s="1"/>
  <c r="AF48" i="37"/>
  <c r="AH48" i="37" s="1"/>
  <c r="F48" i="37"/>
  <c r="L50" i="37"/>
  <c r="N50" i="37" s="1"/>
  <c r="AN48" i="37"/>
  <c r="AP48" i="37" s="1"/>
  <c r="AR49" i="37"/>
  <c r="AT49" i="37" s="1"/>
  <c r="F57" i="37"/>
  <c r="D45" i="37"/>
  <c r="F45" i="37" s="1"/>
  <c r="AV51" i="37"/>
  <c r="AX51" i="37" s="1"/>
  <c r="AJ59" i="37"/>
  <c r="AL59" i="37" s="1"/>
  <c r="AN55" i="37"/>
  <c r="AP55" i="37" s="1"/>
  <c r="AR51" i="37"/>
  <c r="AT51" i="37" s="1"/>
  <c r="X45" i="37"/>
  <c r="Z45" i="37" s="1"/>
  <c r="AV45" i="37"/>
  <c r="AX45" i="37" s="1"/>
  <c r="X57" i="37"/>
  <c r="Z57" i="37" s="1"/>
  <c r="AV46" i="37"/>
  <c r="AX46" i="37" s="1"/>
  <c r="X58" i="37"/>
  <c r="Z58" i="37" s="1"/>
  <c r="AV47" i="37"/>
  <c r="AX47" i="37" s="1"/>
  <c r="X52" i="37"/>
  <c r="Z52" i="37" s="1"/>
  <c r="AR56" i="37"/>
  <c r="AT56" i="37" s="1"/>
  <c r="X53" i="37"/>
  <c r="Z53" i="37" s="1"/>
  <c r="AR57" i="37"/>
  <c r="AT57" i="37" s="1"/>
  <c r="X54" i="37"/>
  <c r="Z54" i="37" s="1"/>
  <c r="AR58" i="37"/>
  <c r="AT58" i="37" s="1"/>
  <c r="H48" i="37"/>
  <c r="J48" i="37" s="1"/>
  <c r="H50" i="37"/>
  <c r="J50" i="37" s="1"/>
  <c r="P57" i="37"/>
  <c r="R57" i="37" s="1"/>
  <c r="P54" i="37"/>
  <c r="R54" i="37" s="1"/>
  <c r="P50" i="37"/>
  <c r="R50" i="37" s="1"/>
  <c r="AF50" i="37"/>
  <c r="AH50" i="37" s="1"/>
  <c r="P48" i="37"/>
  <c r="R48" i="37" s="1"/>
  <c r="P49" i="37"/>
  <c r="R49" i="37" s="1"/>
  <c r="X50" i="37"/>
  <c r="Z50" i="37" s="1"/>
  <c r="F50" i="37"/>
  <c r="AR59" i="37"/>
  <c r="AT59" i="37" s="1"/>
  <c r="L55" i="37"/>
  <c r="N55" i="37" s="1"/>
  <c r="H51" i="37"/>
  <c r="J51" i="37" s="1"/>
  <c r="H59" i="37"/>
  <c r="J59" i="37" s="1"/>
  <c r="H56" i="37"/>
  <c r="J56" i="37" s="1"/>
  <c r="X56" i="37"/>
  <c r="Z56" i="37" s="1"/>
  <c r="H46" i="37"/>
  <c r="J46" i="37" s="1"/>
  <c r="AB53" i="37"/>
  <c r="AD53" i="37" s="1"/>
  <c r="H47" i="37"/>
  <c r="J47" i="37" s="1"/>
  <c r="AB54" i="37"/>
  <c r="AD54" i="37" s="1"/>
  <c r="AV58" i="37"/>
  <c r="AX58" i="37" s="1"/>
  <c r="AB45" i="37"/>
  <c r="AD45" i="37" s="1"/>
  <c r="AV52" i="37"/>
  <c r="AX52" i="37" s="1"/>
  <c r="AB46" i="37"/>
  <c r="AD46" i="37" s="1"/>
  <c r="AV53" i="37"/>
  <c r="AX53" i="37" s="1"/>
  <c r="AB47" i="37"/>
  <c r="AD47" i="37" s="1"/>
  <c r="AV54" i="37"/>
  <c r="AX54" i="37" s="1"/>
  <c r="H53" i="37"/>
  <c r="J53" i="37" s="1"/>
  <c r="L52" i="37"/>
  <c r="N52" i="37" s="1"/>
  <c r="P53" i="37"/>
  <c r="R53" i="37" s="1"/>
  <c r="F55" i="37"/>
  <c r="AF49" i="37"/>
  <c r="AH49" i="37" s="1"/>
  <c r="L49" i="37"/>
  <c r="N49" i="37" s="1"/>
  <c r="T50" i="37"/>
  <c r="V50" i="37" s="1"/>
  <c r="F58" i="37"/>
  <c r="L45" i="37"/>
  <c r="N45" i="37" s="1"/>
  <c r="AR55" i="37"/>
  <c r="AT55" i="37" s="1"/>
  <c r="AF59" i="37"/>
  <c r="AH59" i="37" s="1"/>
  <c r="P59" i="37"/>
  <c r="R59" i="37" s="1"/>
  <c r="T55" i="37"/>
  <c r="V55" i="37" s="1"/>
  <c r="P56" i="37"/>
  <c r="R56" i="37" s="1"/>
  <c r="AF45" i="37"/>
  <c r="AH45" i="37" s="1"/>
  <c r="H57" i="37"/>
  <c r="J57" i="37" s="1"/>
  <c r="AF46" i="37"/>
  <c r="AH46" i="37" s="1"/>
  <c r="H58" i="37"/>
  <c r="J58" i="37" s="1"/>
  <c r="AF47" i="37"/>
  <c r="AH47" i="37" s="1"/>
  <c r="AV59" i="37"/>
  <c r="AX59" i="37" s="1"/>
  <c r="AB56" i="37"/>
  <c r="AD56" i="37" s="1"/>
  <c r="AB58" i="37"/>
  <c r="AD58" i="37" s="1"/>
  <c r="F52" i="37"/>
  <c r="AV49" i="37"/>
  <c r="AX49" i="37" s="1"/>
  <c r="AN45" i="37"/>
  <c r="AP45" i="37" s="1"/>
  <c r="P58" i="37"/>
  <c r="R58" i="37" s="1"/>
  <c r="AJ57" i="37"/>
  <c r="AL57" i="37" s="1"/>
  <c r="AJ50" i="37"/>
  <c r="AL50" i="37" s="1"/>
  <c r="F47" i="37"/>
  <c r="AN49" i="37"/>
  <c r="AP49" i="37" s="1"/>
  <c r="AR50" i="37"/>
  <c r="AT50" i="37" s="1"/>
  <c r="AR48" i="37"/>
  <c r="AT48" i="37" s="1"/>
  <c r="AB48" i="37"/>
  <c r="AD48" i="37" s="1"/>
  <c r="AV57" i="37"/>
  <c r="AX57" i="37" s="1"/>
  <c r="L59" i="37"/>
  <c r="N59" i="37" s="1"/>
  <c r="AB55" i="37"/>
  <c r="AD55" i="37" s="1"/>
  <c r="AF51" i="37"/>
  <c r="AH51" i="37" s="1"/>
  <c r="AB52" i="37"/>
  <c r="AD52" i="37" s="1"/>
  <c r="AF56" i="37"/>
  <c r="AH56" i="37" s="1"/>
  <c r="L53" i="37"/>
  <c r="N53" i="37" s="1"/>
  <c r="AF57" i="37"/>
  <c r="AH57" i="37" s="1"/>
  <c r="L54" i="37"/>
  <c r="N54" i="37" s="1"/>
  <c r="AF58" i="37"/>
  <c r="AH58" i="37" s="1"/>
  <c r="H52" i="37"/>
  <c r="J52" i="37" s="1"/>
  <c r="AF52" i="37"/>
  <c r="AH52" i="37" s="1"/>
  <c r="L46" i="37"/>
  <c r="N46" i="37" s="1"/>
  <c r="AF53" i="37"/>
  <c r="AH53" i="37" s="1"/>
  <c r="L47" i="37"/>
  <c r="N47" i="37" s="1"/>
  <c r="AF54" i="37"/>
  <c r="AH54" i="37" s="1"/>
  <c r="H55" i="37"/>
  <c r="J55" i="37" s="1"/>
  <c r="P52" i="37"/>
  <c r="R52" i="37" s="1"/>
  <c r="F54" i="37"/>
  <c r="AJ48" i="37"/>
  <c r="AL48" i="37" s="1"/>
  <c r="AN50" i="37"/>
  <c r="AP50" i="37" s="1"/>
  <c r="F59" i="37"/>
  <c r="X49" i="37"/>
  <c r="Z49" i="37" s="1"/>
  <c r="AV48" i="37"/>
  <c r="AX48" i="37" s="1"/>
  <c r="X51" i="37"/>
  <c r="Z51" i="37" s="1"/>
  <c r="AJ51" i="37"/>
  <c r="AL51" i="37" s="1"/>
  <c r="AN51" i="37"/>
  <c r="AP51" i="37" s="1"/>
  <c r="AN59" i="37"/>
  <c r="AP59" i="37" s="1"/>
  <c r="AV56" i="37"/>
  <c r="AX56" i="37" s="1"/>
  <c r="AJ52" i="37"/>
  <c r="AL52" i="37" s="1"/>
  <c r="P46" i="37"/>
  <c r="R46" i="37" s="1"/>
  <c r="AJ53" i="37"/>
  <c r="AL53" i="37" s="1"/>
  <c r="P47" i="37"/>
  <c r="R47" i="37" s="1"/>
  <c r="AJ54" i="37"/>
  <c r="AL54" i="37" s="1"/>
  <c r="L56" i="37"/>
  <c r="N56" i="37" s="1"/>
  <c r="AJ45" i="37"/>
  <c r="AL45" i="37" s="1"/>
  <c r="L57" i="37"/>
  <c r="N57" i="37" s="1"/>
  <c r="AJ46" i="37"/>
  <c r="AL46" i="37" s="1"/>
  <c r="L58" i="37"/>
  <c r="N58" i="37" s="1"/>
  <c r="AJ47" i="37"/>
  <c r="AL47" i="37" s="1"/>
  <c r="H49" i="37"/>
  <c r="J49" i="37" s="1"/>
  <c r="AB51" i="37"/>
  <c r="AD51" i="37" s="1"/>
  <c r="AN46" i="37"/>
  <c r="AP46" i="37" s="1"/>
  <c r="AJ58" i="37"/>
  <c r="AL58" i="37" s="1"/>
  <c r="E7" i="38"/>
  <c r="G7" i="38" s="1"/>
  <c r="E6" i="38"/>
  <c r="G6" i="38" s="1"/>
  <c r="E9" i="38"/>
  <c r="G9" i="38" s="1"/>
  <c r="E8" i="38"/>
  <c r="G8" i="38" s="1"/>
  <c r="E41" i="38"/>
  <c r="G41" i="38" s="1"/>
  <c r="E40" i="38"/>
  <c r="G40" i="38" s="1"/>
  <c r="E38" i="38"/>
  <c r="G38" i="38" s="1"/>
  <c r="E44" i="38"/>
  <c r="G44" i="38" s="1"/>
  <c r="E37" i="38"/>
  <c r="G37" i="38" s="1"/>
  <c r="E36" i="38"/>
  <c r="G36" i="38" s="1"/>
  <c r="E30" i="38"/>
  <c r="G30" i="38" s="1"/>
  <c r="E42" i="38"/>
  <c r="G42" i="38" s="1"/>
  <c r="E33" i="38"/>
  <c r="G33" i="38" s="1"/>
  <c r="E32" i="38"/>
  <c r="G32" i="38" s="1"/>
  <c r="E28" i="38"/>
  <c r="G28" i="38" s="1"/>
  <c r="E34" i="38"/>
  <c r="G34" i="38" s="1"/>
  <c r="E31" i="38"/>
  <c r="G31" i="38" s="1"/>
  <c r="E29" i="38"/>
  <c r="G29" i="38" s="1"/>
  <c r="E24" i="38"/>
  <c r="G24" i="38" s="1"/>
  <c r="E46" i="38"/>
  <c r="G46" i="38" s="1"/>
  <c r="E26" i="38"/>
  <c r="G26" i="38" s="1"/>
  <c r="E22" i="38"/>
  <c r="G22" i="38" s="1"/>
  <c r="E43" i="38"/>
  <c r="G43" i="38" s="1"/>
  <c r="E47" i="38"/>
  <c r="G47" i="38" s="1"/>
  <c r="E25" i="38"/>
  <c r="G25" i="38" s="1"/>
  <c r="E27" i="38"/>
  <c r="G27" i="38" s="1"/>
  <c r="E39" i="38"/>
  <c r="G39" i="38" s="1"/>
  <c r="E49" i="38"/>
  <c r="G49" i="38" s="1"/>
  <c r="E48" i="38"/>
  <c r="G48" i="38" s="1"/>
  <c r="E23" i="38"/>
  <c r="G23" i="38" s="1"/>
  <c r="E35" i="38"/>
  <c r="G35" i="38" s="1"/>
  <c r="E45" i="38"/>
  <c r="G45" i="38" s="1"/>
  <c r="M5" i="4"/>
  <c r="J5" i="4"/>
  <c r="K5" i="4"/>
  <c r="L5" i="4"/>
  <c r="BC59" i="37" l="1"/>
  <c r="BC52" i="37"/>
  <c r="BC50" i="37"/>
  <c r="BC46" i="37"/>
  <c r="BC51" i="37"/>
  <c r="BC47" i="37"/>
  <c r="BC54" i="37"/>
  <c r="BC55" i="37"/>
  <c r="BC57" i="37"/>
  <c r="BC49" i="37"/>
  <c r="BC53" i="37"/>
  <c r="BC58" i="37"/>
  <c r="BC48" i="37"/>
  <c r="BC56" i="37"/>
  <c r="BC45" i="37"/>
  <c r="X7" i="1"/>
  <c r="X8" i="1"/>
  <c r="X25" i="1"/>
  <c r="X26" i="1"/>
  <c r="X29" i="1"/>
  <c r="X30" i="1"/>
  <c r="X36" i="1"/>
  <c r="X37" i="1"/>
  <c r="X45" i="1"/>
  <c r="X46" i="1"/>
  <c r="X53" i="1"/>
  <c r="X59" i="1"/>
  <c r="X60" i="1"/>
  <c r="X61" i="1"/>
  <c r="X64" i="1"/>
  <c r="I5" i="4" l="1"/>
  <c r="H5" i="4"/>
  <c r="O34" i="5"/>
  <c r="AC11" i="1" l="1"/>
  <c r="AD11" i="1" s="1"/>
  <c r="S11" i="1"/>
  <c r="K11" i="1"/>
  <c r="U10" i="1"/>
  <c r="T10" i="1"/>
  <c r="S10" i="1"/>
  <c r="S8" i="1"/>
  <c r="K8" i="1"/>
  <c r="AC5" i="1"/>
  <c r="AD5" i="1" s="1"/>
  <c r="S5" i="1"/>
  <c r="K5" i="1"/>
  <c r="W7" i="1"/>
  <c r="V7" i="1"/>
  <c r="S7" i="1"/>
  <c r="K7" i="1"/>
  <c r="AC6" i="1"/>
  <c r="AD6" i="1" s="1"/>
  <c r="W6" i="1"/>
  <c r="V6" i="1"/>
  <c r="S6" i="1"/>
  <c r="K6" i="1"/>
  <c r="AC4" i="1"/>
  <c r="AD4" i="1" s="1"/>
  <c r="S4" i="1"/>
  <c r="K4" i="1"/>
  <c r="K42" i="1"/>
  <c r="T42" i="1" s="1"/>
  <c r="K43" i="1"/>
  <c r="K44" i="1"/>
  <c r="K45" i="1"/>
  <c r="K46" i="1"/>
  <c r="K47" i="1"/>
  <c r="K48" i="1"/>
  <c r="K49" i="1"/>
  <c r="K50" i="1"/>
  <c r="T50" i="1" s="1"/>
  <c r="K51" i="1"/>
  <c r="K52" i="1"/>
  <c r="K53" i="1"/>
  <c r="K54" i="1"/>
  <c r="K55" i="1"/>
  <c r="K57" i="1"/>
  <c r="K58" i="1"/>
  <c r="K59" i="1"/>
  <c r="K60" i="1"/>
  <c r="K61" i="1"/>
  <c r="K62" i="1"/>
  <c r="K63" i="1"/>
  <c r="S43" i="1"/>
  <c r="S44" i="1"/>
  <c r="S45" i="1"/>
  <c r="S46" i="1"/>
  <c r="S47" i="1"/>
  <c r="T47" i="1"/>
  <c r="U47" i="1"/>
  <c r="S48" i="1"/>
  <c r="T48" i="1"/>
  <c r="U48" i="1"/>
  <c r="S49" i="1"/>
  <c r="T49" i="1"/>
  <c r="S50" i="1"/>
  <c r="S51" i="1"/>
  <c r="T51" i="1"/>
  <c r="U51" i="1"/>
  <c r="S52" i="1"/>
  <c r="S53" i="1"/>
  <c r="S54" i="1"/>
  <c r="S55" i="1"/>
  <c r="S57" i="1"/>
  <c r="S58" i="1"/>
  <c r="S59" i="1"/>
  <c r="T59" i="1"/>
  <c r="U59" i="1"/>
  <c r="V59" i="1"/>
  <c r="W59" i="1"/>
  <c r="S60" i="1"/>
  <c r="V60" i="1"/>
  <c r="W60" i="1"/>
  <c r="S61" i="1"/>
  <c r="S62" i="1"/>
  <c r="S63" i="1"/>
  <c r="W31" i="1"/>
  <c r="W30" i="1"/>
  <c r="K36" i="1"/>
  <c r="K37" i="1"/>
  <c r="K38" i="1"/>
  <c r="T38" i="1" s="1"/>
  <c r="K39" i="1"/>
  <c r="K40" i="1"/>
  <c r="T40" i="1" s="1"/>
  <c r="K41" i="1"/>
  <c r="T41" i="1" s="1"/>
  <c r="K30" i="1"/>
  <c r="K31" i="1"/>
  <c r="K32" i="1"/>
  <c r="AC43" i="1"/>
  <c r="AD43" i="1" s="1"/>
  <c r="H6" i="4" l="1"/>
  <c r="M17" i="4" s="1"/>
  <c r="K6" i="4"/>
  <c r="J6" i="4"/>
  <c r="I6" i="4"/>
  <c r="T39" i="1"/>
  <c r="L6" i="4"/>
  <c r="M6" i="4"/>
  <c r="M12" i="4" s="1"/>
  <c r="R16" i="34"/>
  <c r="T16" i="34" s="1"/>
  <c r="R9" i="34"/>
  <c r="T9" i="34" s="1"/>
  <c r="E9" i="34"/>
  <c r="F9" i="34" s="1"/>
  <c r="F8" i="34"/>
  <c r="F7" i="34"/>
  <c r="F6" i="34"/>
  <c r="F5" i="34"/>
  <c r="F4" i="34"/>
  <c r="F3" i="34"/>
  <c r="E4" i="33"/>
  <c r="E5" i="33" s="1"/>
  <c r="E6" i="33" s="1"/>
  <c r="E7" i="33" s="1"/>
  <c r="E8" i="33" s="1"/>
  <c r="E9" i="33" s="1"/>
  <c r="E10" i="33" s="1"/>
  <c r="E11" i="33" s="1"/>
  <c r="D4" i="33"/>
  <c r="D5" i="33" s="1"/>
  <c r="D6" i="33" s="1"/>
  <c r="D7" i="33" s="1"/>
  <c r="D8" i="33" s="1"/>
  <c r="D9" i="33" s="1"/>
  <c r="D10" i="33" s="1"/>
  <c r="D11" i="33" s="1"/>
  <c r="C3" i="33"/>
  <c r="C4" i="33" s="1"/>
  <c r="C5" i="33" s="1"/>
  <c r="C6" i="33" s="1"/>
  <c r="C7" i="33" s="1"/>
  <c r="C8" i="33" s="1"/>
  <c r="C9" i="33" s="1"/>
  <c r="C10" i="33" s="1"/>
  <c r="C11" i="33" s="1"/>
  <c r="E12" i="34" l="1"/>
  <c r="G12" i="34" s="1"/>
  <c r="D50" i="31" l="1"/>
  <c r="D49" i="31"/>
  <c r="D48" i="31"/>
  <c r="D47" i="31"/>
  <c r="D46" i="31"/>
  <c r="D45" i="31"/>
  <c r="D44" i="31"/>
  <c r="D43" i="31"/>
  <c r="D42" i="31"/>
  <c r="D41" i="31"/>
  <c r="D40" i="31"/>
  <c r="D39" i="31"/>
  <c r="D38" i="31"/>
  <c r="D37" i="31"/>
  <c r="D36" i="31"/>
  <c r="D35" i="31"/>
  <c r="D34" i="31"/>
  <c r="D33" i="31"/>
  <c r="D32" i="31"/>
  <c r="AC34" i="1" l="1"/>
  <c r="AD34" i="1" s="1"/>
  <c r="AC24" i="1"/>
  <c r="AD24" i="1" s="1"/>
  <c r="AC35" i="1"/>
  <c r="AD35" i="1" s="1"/>
  <c r="U24" i="1"/>
  <c r="U35" i="1"/>
  <c r="T34" i="1"/>
  <c r="T24" i="1"/>
  <c r="T35" i="1"/>
  <c r="S3" i="1"/>
  <c r="K34" i="1"/>
  <c r="K24" i="1"/>
  <c r="K35" i="1"/>
  <c r="AC9" i="1"/>
  <c r="AD9" i="1" s="1"/>
  <c r="AC12" i="1"/>
  <c r="AD12" i="1" s="1"/>
  <c r="AC13" i="1"/>
  <c r="AD13" i="1" s="1"/>
  <c r="AC15" i="1"/>
  <c r="AD15" i="1" s="1"/>
  <c r="AC16" i="1"/>
  <c r="AD16" i="1" s="1"/>
  <c r="AC20" i="1"/>
  <c r="AD20" i="1" s="1"/>
  <c r="AC21" i="1"/>
  <c r="AD21" i="1" s="1"/>
  <c r="AC25" i="1"/>
  <c r="AD25" i="1" s="1"/>
  <c r="AC26" i="1"/>
  <c r="AD26" i="1" s="1"/>
  <c r="AC27" i="1"/>
  <c r="AD27" i="1" s="1"/>
  <c r="AC28" i="1"/>
  <c r="AD28" i="1" s="1"/>
  <c r="AC29" i="1"/>
  <c r="AD29" i="1" s="1"/>
  <c r="AC64" i="1"/>
  <c r="AD64" i="1" s="1"/>
  <c r="U27" i="1"/>
  <c r="T27" i="1"/>
  <c r="S9" i="1"/>
  <c r="S12" i="1"/>
  <c r="S13" i="1"/>
  <c r="S15" i="1"/>
  <c r="S16" i="1"/>
  <c r="S21" i="1"/>
  <c r="S25" i="1"/>
  <c r="S26" i="1"/>
  <c r="S27" i="1"/>
  <c r="K3" i="1" l="1"/>
  <c r="K9" i="1"/>
  <c r="K12" i="1"/>
  <c r="K13" i="1"/>
  <c r="K15" i="1"/>
  <c r="K16" i="1"/>
  <c r="K20" i="1"/>
  <c r="K21" i="1"/>
  <c r="T21" i="1" s="1"/>
  <c r="K25" i="1"/>
  <c r="K26" i="1"/>
  <c r="T26" i="1" s="1"/>
  <c r="K27" i="1"/>
  <c r="K28" i="1"/>
  <c r="K29" i="1"/>
  <c r="O64" i="1" l="1" a="1"/>
  <c r="O64" i="1" s="1"/>
  <c r="M66" i="1" a="1"/>
  <c r="M66" i="1" s="1"/>
  <c r="M64" i="1"/>
  <c r="O66" i="1"/>
  <c r="T64" i="1" l="1"/>
  <c r="V64" i="1" l="1"/>
  <c r="W64" i="1"/>
  <c r="C6" i="4"/>
  <c r="C5" i="4"/>
  <c r="F25" i="4" l="1"/>
  <c r="G1" i="4" l="1"/>
  <c r="A62" i="6" l="1"/>
  <c r="A63" i="6"/>
  <c r="A64" i="6"/>
  <c r="A69" i="6"/>
  <c r="A84" i="6"/>
  <c r="G25" i="4" l="1"/>
  <c r="L12" i="4"/>
  <c r="J12" i="4"/>
  <c r="I12" i="4"/>
  <c r="K12" i="4"/>
  <c r="H12" i="4"/>
  <c r="D6" i="4"/>
  <c r="D5" i="4"/>
  <c r="F26" i="4" l="1"/>
  <c r="B25" i="4"/>
  <c r="D12" i="4"/>
  <c r="I65" i="1" s="1"/>
  <c r="T11" i="1" l="1"/>
  <c r="T5" i="1"/>
  <c r="T8" i="1"/>
  <c r="T6" i="1"/>
  <c r="T7" i="1"/>
  <c r="T37" i="1"/>
  <c r="T4" i="1"/>
  <c r="T36" i="1"/>
  <c r="T25" i="1"/>
  <c r="T20" i="1"/>
  <c r="T62" i="1"/>
  <c r="T63" i="1"/>
  <c r="T60" i="1"/>
  <c r="T61" i="1"/>
  <c r="T57" i="1"/>
  <c r="T58" i="1"/>
  <c r="T54" i="1"/>
  <c r="T55" i="1"/>
  <c r="T52" i="1"/>
  <c r="T53" i="1"/>
  <c r="T43" i="1"/>
  <c r="T44" i="1"/>
  <c r="T46" i="1"/>
  <c r="T45" i="1"/>
  <c r="T30" i="1"/>
  <c r="T32" i="1"/>
  <c r="T31" i="1"/>
  <c r="T28" i="1"/>
  <c r="T29" i="1"/>
  <c r="T16" i="1"/>
  <c r="T15" i="1"/>
  <c r="T12" i="1"/>
  <c r="T13" i="1"/>
  <c r="T9" i="1"/>
  <c r="T3" i="1"/>
  <c r="G26" i="4"/>
  <c r="H26" i="4" s="1"/>
  <c r="M16" i="4"/>
  <c r="U50" i="1" l="1"/>
  <c r="U23" i="1"/>
  <c r="U42" i="1"/>
  <c r="U49" i="1"/>
  <c r="O17" i="4"/>
  <c r="U41" i="1"/>
  <c r="U22" i="1"/>
  <c r="U18" i="1"/>
  <c r="U21" i="1"/>
  <c r="U20" i="1"/>
  <c r="U56" i="1"/>
  <c r="U14" i="1"/>
  <c r="U11" i="1"/>
  <c r="U17" i="1"/>
  <c r="U33" i="1"/>
  <c r="U19" i="1"/>
  <c r="U39" i="1"/>
  <c r="U38" i="1"/>
  <c r="U40" i="1"/>
  <c r="U34" i="1"/>
  <c r="U6" i="1"/>
  <c r="U8" i="1"/>
  <c r="U5" i="1"/>
  <c r="U7" i="1"/>
  <c r="U37" i="1"/>
  <c r="U4" i="1"/>
  <c r="U36" i="1"/>
  <c r="U26" i="1"/>
  <c r="U25" i="1"/>
  <c r="U62" i="1"/>
  <c r="U63" i="1"/>
  <c r="U61" i="1"/>
  <c r="U43" i="1"/>
  <c r="U60" i="1"/>
  <c r="U58" i="1"/>
  <c r="U57" i="1"/>
  <c r="U55" i="1"/>
  <c r="U54" i="1"/>
  <c r="U53" i="1"/>
  <c r="U52" i="1"/>
  <c r="U45" i="1"/>
  <c r="U46" i="1"/>
  <c r="U44" i="1"/>
  <c r="L17" i="4"/>
  <c r="U30" i="1"/>
  <c r="U32" i="1"/>
  <c r="U31" i="1"/>
  <c r="L16" i="4"/>
  <c r="U29" i="1"/>
  <c r="U28" i="1"/>
  <c r="U16" i="1"/>
  <c r="U15" i="1"/>
  <c r="U13" i="1"/>
  <c r="U12" i="1"/>
  <c r="U9" i="1"/>
  <c r="U3" i="1"/>
  <c r="O16" i="4"/>
  <c r="B26" i="4"/>
  <c r="F27" i="4"/>
  <c r="M23" i="4"/>
  <c r="N17" i="4" l="1"/>
  <c r="N16" i="4"/>
  <c r="G27" i="4"/>
  <c r="F28" i="4" s="1"/>
  <c r="B27" i="4" l="1"/>
  <c r="G28" i="4"/>
  <c r="H27" i="4"/>
  <c r="V30" i="1" l="1"/>
  <c r="V23" i="1"/>
  <c r="V55" i="1"/>
  <c r="Q17" i="4"/>
  <c r="V22" i="1"/>
  <c r="V57" i="1"/>
  <c r="V56" i="1"/>
  <c r="V18" i="1"/>
  <c r="V58" i="1"/>
  <c r="V14" i="1"/>
  <c r="V13" i="1"/>
  <c r="V17" i="1"/>
  <c r="V11" i="1"/>
  <c r="V32" i="1"/>
  <c r="V31" i="1"/>
  <c r="V20" i="1"/>
  <c r="V25" i="1"/>
  <c r="V19" i="1"/>
  <c r="V41" i="1"/>
  <c r="V42" i="1"/>
  <c r="V40" i="1"/>
  <c r="V10" i="1"/>
  <c r="V8" i="1"/>
  <c r="V4" i="1"/>
  <c r="V5" i="1"/>
  <c r="V26" i="1"/>
  <c r="V37" i="1"/>
  <c r="V38" i="1"/>
  <c r="V36" i="1"/>
  <c r="V39" i="1"/>
  <c r="V12" i="1"/>
  <c r="V47" i="1"/>
  <c r="V49" i="1"/>
  <c r="V50" i="1"/>
  <c r="V51" i="1"/>
  <c r="V48" i="1"/>
  <c r="V62" i="1"/>
  <c r="V63" i="1"/>
  <c r="V54" i="1"/>
  <c r="V61" i="1"/>
  <c r="V52" i="1"/>
  <c r="V53" i="1"/>
  <c r="V43" i="1"/>
  <c r="V46" i="1"/>
  <c r="V45" i="1"/>
  <c r="V44" i="1"/>
  <c r="V9" i="1"/>
  <c r="V35" i="1"/>
  <c r="V24" i="1"/>
  <c r="V34" i="1"/>
  <c r="V29" i="1"/>
  <c r="V28" i="1"/>
  <c r="V27" i="1"/>
  <c r="V16" i="1"/>
  <c r="V21" i="1"/>
  <c r="V15" i="1"/>
  <c r="V3" i="1"/>
  <c r="F29" i="4"/>
  <c r="G29" i="4" s="1"/>
  <c r="B28" i="4"/>
  <c r="H28" i="4"/>
  <c r="S17" i="4" s="1"/>
  <c r="Q16" i="4"/>
  <c r="W23" i="1" l="1"/>
  <c r="W22" i="1"/>
  <c r="W18" i="1"/>
  <c r="W55" i="1"/>
  <c r="W57" i="1"/>
  <c r="W56" i="1"/>
  <c r="W58" i="1"/>
  <c r="W17" i="1"/>
  <c r="W13" i="1"/>
  <c r="W14" i="1"/>
  <c r="W8" i="1"/>
  <c r="W32" i="1"/>
  <c r="W20" i="1"/>
  <c r="W19" i="1"/>
  <c r="W25" i="1"/>
  <c r="W42" i="1"/>
  <c r="W41" i="1"/>
  <c r="W40" i="1"/>
  <c r="W11" i="1"/>
  <c r="W4" i="1"/>
  <c r="W5" i="1"/>
  <c r="W26" i="1"/>
  <c r="W38" i="1"/>
  <c r="W39" i="1"/>
  <c r="W37" i="1"/>
  <c r="W36" i="1"/>
  <c r="W12" i="1"/>
  <c r="W43" i="1"/>
  <c r="W48" i="1"/>
  <c r="W51" i="1"/>
  <c r="W50" i="1"/>
  <c r="W49" i="1"/>
  <c r="W47" i="1"/>
  <c r="W63" i="1"/>
  <c r="P17" i="4"/>
  <c r="W62" i="1"/>
  <c r="W61" i="1"/>
  <c r="W54" i="1"/>
  <c r="W53" i="1"/>
  <c r="W52" i="1"/>
  <c r="W44" i="1"/>
  <c r="W45" i="1"/>
  <c r="W46" i="1"/>
  <c r="W9" i="1"/>
  <c r="B29" i="4"/>
  <c r="F30" i="4"/>
  <c r="P16" i="4"/>
  <c r="W34" i="1"/>
  <c r="W24" i="1"/>
  <c r="W35" i="1"/>
  <c r="W28" i="1"/>
  <c r="W29" i="1"/>
  <c r="W15" i="1"/>
  <c r="W27" i="1"/>
  <c r="W21" i="1"/>
  <c r="W16" i="1"/>
  <c r="W3" i="1"/>
  <c r="S16" i="4"/>
  <c r="H29" i="4"/>
  <c r="U17" i="4" s="1"/>
  <c r="X22" i="1" l="1"/>
  <c r="X55" i="1"/>
  <c r="X52" i="1"/>
  <c r="X44" i="1"/>
  <c r="X43" i="1"/>
  <c r="X41" i="1"/>
  <c r="X40" i="1"/>
  <c r="X57" i="1"/>
  <c r="X54" i="1"/>
  <c r="X58" i="1"/>
  <c r="X63" i="1"/>
  <c r="X62" i="1"/>
  <c r="X16" i="1"/>
  <c r="X34" i="1"/>
  <c r="X31" i="1"/>
  <c r="X33" i="1"/>
  <c r="X32" i="1"/>
  <c r="X17" i="1"/>
  <c r="X14" i="1"/>
  <c r="X6" i="1"/>
  <c r="X13" i="1"/>
  <c r="X12" i="1"/>
  <c r="X5" i="1"/>
  <c r="X39" i="1"/>
  <c r="X20" i="1"/>
  <c r="X42" i="1"/>
  <c r="U16" i="4"/>
  <c r="D16" i="4" s="1"/>
  <c r="Y16" i="4" s="1"/>
  <c r="X38" i="1"/>
  <c r="X4" i="1"/>
  <c r="X35" i="1"/>
  <c r="X3" i="1"/>
  <c r="X15" i="1"/>
  <c r="X9" i="1"/>
  <c r="X47" i="1"/>
  <c r="X21" i="1"/>
  <c r="X50" i="1"/>
  <c r="X11" i="1"/>
  <c r="X49" i="1"/>
  <c r="X27" i="1"/>
  <c r="X51" i="1"/>
  <c r="X48" i="1"/>
  <c r="X28" i="1"/>
  <c r="X24" i="1"/>
  <c r="D17" i="4"/>
  <c r="G30" i="4"/>
  <c r="H30" i="4" s="1"/>
  <c r="Y22" i="1" s="1"/>
  <c r="C27" i="4"/>
  <c r="C29" i="4" s="1"/>
  <c r="C25" i="4" s="1"/>
  <c r="Y23" i="1" l="1"/>
  <c r="Y17" i="1"/>
  <c r="Y15" i="1"/>
  <c r="Y32" i="1"/>
  <c r="Y16" i="1"/>
  <c r="Y24" i="1"/>
  <c r="Y9" i="1"/>
  <c r="Y33" i="1"/>
  <c r="Y5" i="1"/>
  <c r="Y31" i="1"/>
  <c r="Y27" i="1"/>
  <c r="Y35" i="1"/>
  <c r="Y34" i="1"/>
  <c r="Y55" i="1"/>
  <c r="Y40" i="1"/>
  <c r="Y44" i="1"/>
  <c r="Y43" i="1"/>
  <c r="Y41" i="1"/>
  <c r="Y39" i="1"/>
  <c r="Y54" i="1"/>
  <c r="Y58" i="1"/>
  <c r="Y62" i="1"/>
  <c r="Y13" i="1"/>
  <c r="Y42" i="1"/>
  <c r="Y51" i="1"/>
  <c r="Y50" i="1"/>
  <c r="Y49" i="1"/>
  <c r="Y48" i="1"/>
  <c r="Y47" i="1"/>
  <c r="Y38" i="1"/>
  <c r="U23" i="4"/>
  <c r="W16" i="4"/>
  <c r="W17" i="4"/>
  <c r="L23" i="4"/>
  <c r="Q23" i="4"/>
  <c r="S23" i="4"/>
  <c r="O23" i="4"/>
  <c r="D23" i="4"/>
  <c r="V16" i="4" l="1"/>
  <c r="W23" i="4"/>
  <c r="K65" i="1"/>
  <c r="N23" i="4"/>
  <c r="C12" i="4"/>
  <c r="I64" i="1" s="1"/>
  <c r="I66" i="1" s="1"/>
  <c r="J65" i="1" s="1"/>
  <c r="AC65" i="1" s="1"/>
  <c r="AD65" i="1" s="1"/>
  <c r="Y17" i="4"/>
  <c r="P23" i="4" l="1"/>
  <c r="A30" i="6"/>
  <c r="A79" i="6"/>
  <c r="A55" i="6"/>
  <c r="A32" i="6"/>
  <c r="A4" i="6"/>
  <c r="A33" i="6"/>
  <c r="A2" i="6"/>
  <c r="A26" i="6"/>
  <c r="A20" i="6"/>
  <c r="A35" i="6"/>
  <c r="A12" i="6"/>
  <c r="A39" i="6"/>
  <c r="A74" i="6"/>
  <c r="A24" i="6"/>
  <c r="A27" i="6"/>
  <c r="A38" i="6"/>
  <c r="A95" i="6"/>
  <c r="A71" i="6"/>
  <c r="A40" i="6"/>
  <c r="A36" i="6"/>
  <c r="A41" i="6"/>
  <c r="A90" i="6"/>
  <c r="A34" i="6"/>
  <c r="A60" i="6"/>
  <c r="A43" i="6"/>
  <c r="A44" i="6"/>
  <c r="A17" i="6"/>
  <c r="A96" i="6"/>
  <c r="A46" i="6"/>
  <c r="A7" i="6"/>
  <c r="A87" i="6"/>
  <c r="A48" i="6"/>
  <c r="A5" i="6"/>
  <c r="A49" i="6"/>
  <c r="A28" i="6"/>
  <c r="A42" i="6"/>
  <c r="A13" i="6"/>
  <c r="A51" i="6"/>
  <c r="A68" i="6"/>
  <c r="A16" i="6"/>
  <c r="A93" i="6"/>
  <c r="A89" i="6"/>
  <c r="A54" i="6"/>
  <c r="A15" i="6"/>
  <c r="A76" i="6"/>
  <c r="A56" i="6"/>
  <c r="A37" i="6"/>
  <c r="A57" i="6"/>
  <c r="A52" i="6"/>
  <c r="A50" i="6"/>
  <c r="A61" i="6"/>
  <c r="A59" i="6"/>
  <c r="A21" i="6"/>
  <c r="A80" i="6"/>
  <c r="A73" i="6"/>
  <c r="A75" i="6"/>
  <c r="A88" i="6"/>
  <c r="A19" i="6"/>
  <c r="A94" i="6"/>
  <c r="A25" i="6"/>
  <c r="A82" i="6"/>
  <c r="A70" i="6"/>
  <c r="A23" i="6"/>
  <c r="A29" i="6"/>
  <c r="A72" i="6"/>
  <c r="A77" i="6"/>
  <c r="A65" i="6"/>
  <c r="A92" i="6"/>
  <c r="A58" i="6"/>
  <c r="A3" i="6"/>
  <c r="A67" i="6"/>
  <c r="A45" i="6"/>
  <c r="A8" i="6"/>
  <c r="A53" i="6"/>
  <c r="A11" i="6"/>
  <c r="A14" i="6"/>
  <c r="A81" i="6"/>
  <c r="A83" i="6"/>
  <c r="A47" i="6"/>
  <c r="A18" i="6"/>
  <c r="A91" i="6"/>
  <c r="A6" i="6"/>
  <c r="A78" i="6"/>
  <c r="A31" i="6"/>
  <c r="A9" i="6"/>
  <c r="A66" i="6"/>
  <c r="A85" i="6"/>
  <c r="A86" i="6"/>
  <c r="A10" i="6"/>
  <c r="A22" i="6"/>
  <c r="AC10" i="1"/>
  <c r="AD10" i="1" s="1"/>
  <c r="K10" i="1" l="1"/>
  <c r="C16" i="4" l="1"/>
  <c r="C17" i="4"/>
  <c r="I17" i="4" s="1"/>
  <c r="W10" i="1"/>
  <c r="C23" i="4" l="1"/>
  <c r="K64" i="1" s="1"/>
  <c r="K66" i="1" s="1"/>
  <c r="L65" i="1" s="1"/>
  <c r="R16" i="4"/>
  <c r="R17" i="4"/>
  <c r="I16" i="4"/>
  <c r="H16" i="4" s="1"/>
  <c r="H17" i="4"/>
  <c r="J17" i="4"/>
  <c r="X10" i="1"/>
  <c r="Y10" i="1" l="1"/>
  <c r="V17" i="4" s="1"/>
  <c r="V23" i="4" s="1"/>
  <c r="I23" i="4"/>
  <c r="H23" i="4" s="1"/>
  <c r="J16" i="4"/>
  <c r="R23" i="4"/>
  <c r="T16" i="4"/>
  <c r="T17" i="4"/>
  <c r="X17" i="4" s="1"/>
  <c r="AC3" i="1"/>
  <c r="AD3" i="1" s="1"/>
  <c r="J23" i="4" l="1"/>
  <c r="T23" i="4"/>
  <c r="X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tc={3823AF55-9316-40C3-AA1B-CF8100BCAB07}</author>
  </authors>
  <commentList>
    <comment ref="R6" authorId="0" shapeId="0" xr:uid="{3823AF55-9316-40C3-AA1B-CF8100BCAB07}">
      <text>
        <t>[Threaded comment]
Your version of Excel allows you to read this threaded comment; however, any edits to it will get removed if the file is opened in a newer version of Excel. Learn more: https://go.microsoft.com/fwlink/?linkid=870924
Comment:
    Proof automation can be renamed to script verification and story points can be 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tc={29644D1C-E6DA-424E-A97F-CC77D3B6C53F}</author>
    <author>tc={827470E2-F0F2-4D7B-B7B6-D2227B8CC104}</author>
  </authors>
  <commentList>
    <comment ref="J2" authorId="0" shapeId="0" xr:uid="{29644D1C-E6DA-424E-A97F-CC77D3B6C53F}">
      <text>
        <t>[Threaded comment]
Your version of Excel allows you to read this threaded comment; however, any edits to it will get removed if the file is opened in a newer version of Excel. Learn more: https://go.microsoft.com/fwlink/?linkid=870924
Comment:
    manual ( H= J for beginning). Periodically manually reduce</t>
      </text>
    </comment>
    <comment ref="N2" authorId="1" shapeId="0" xr:uid="{827470E2-F0F2-4D7B-B7B6-D2227B8CC104}">
      <text>
        <t>[Threaded comment]
Your version of Excel allows you to read this threaded comment; however, any edits to it will get removed if the file is opened in a newer version of Excel. Learn more: https://go.microsoft.com/fwlink/?linkid=870924
Comment:
    commit: - as per team, this will be done
stretch - less confident; ongoing
ongoing features - TBD</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<sst xmlns="http://schemas.openxmlformats.org/spreadsheetml/2006/main" count="2193" uniqueCount="776">
  <si>
    <t>Match</t>
  </si>
  <si>
    <t>ID</t>
  </si>
  <si>
    <t>Title</t>
  </si>
  <si>
    <t>Work Item Type</t>
  </si>
  <si>
    <t>Assigned To</t>
  </si>
  <si>
    <t>Time Criticality</t>
  </si>
  <si>
    <t>Priority</t>
  </si>
  <si>
    <t>Effort</t>
  </si>
  <si>
    <t>Target Date</t>
  </si>
  <si>
    <t>State</t>
  </si>
  <si>
    <t>Tags</t>
  </si>
  <si>
    <t>Area Path</t>
  </si>
  <si>
    <t>Generation of manual JSON files for Langhorne</t>
  </si>
  <si>
    <t>Feature</t>
  </si>
  <si>
    <t>Polannagari, Govardhan</t>
  </si>
  <si>
    <t>Closed</t>
  </si>
  <si>
    <t>Langhorne</t>
  </si>
  <si>
    <t>GlobalREApps\Debt</t>
  </si>
  <si>
    <t>EMEA data for Dublin Bank</t>
  </si>
  <si>
    <t>Cole, Lisa</t>
  </si>
  <si>
    <t>_Ready; CLS; OneSource</t>
  </si>
  <si>
    <t>GlobalREApps\Debt\LMW</t>
  </si>
  <si>
    <t>Real-time data processing new loans</t>
  </si>
  <si>
    <t>Talluru, Praveena</t>
  </si>
  <si>
    <t>_Ready; CLS</t>
  </si>
  <si>
    <t>Final Concluded Property Value/LTV in Feed From Backshop to LMW</t>
  </si>
  <si>
    <t>Mitchell, Aj</t>
  </si>
  <si>
    <t>_Ready; LMW</t>
  </si>
  <si>
    <t>CLS Implementation for CECL Enhancements</t>
  </si>
  <si>
    <t>Montoya, Fabio</t>
  </si>
  <si>
    <t>_Ready; CECL; CLS</t>
  </si>
  <si>
    <t>GlobalREApps\Debt\CLS</t>
  </si>
  <si>
    <t>Backshop Implementation for CECL Enhancements</t>
  </si>
  <si>
    <t>_Ready; Backshop; Backshop_Met; CECL</t>
  </si>
  <si>
    <t>Client Reporting : Beneficial Borrower Report feed to SSB for CMIF loans</t>
  </si>
  <si>
    <t>Bose, Siddhartha</t>
  </si>
  <si>
    <t>_Ready; MIS</t>
  </si>
  <si>
    <t>GlobalREApps\Debt\MIS</t>
  </si>
  <si>
    <t>Automatically generate and attach the FTM Compare Report to the the "FTM Review Approved" notification</t>
  </si>
  <si>
    <t>_Ready; Backshop</t>
  </si>
  <si>
    <t>Script Request - Loan 702826 Rating and Valuation Review - Loan Commentary</t>
  </si>
  <si>
    <t>Ramaraj, Vinoth</t>
  </si>
  <si>
    <t>Data Script request to update mortgage rating grade for loan 540151</t>
  </si>
  <si>
    <t>CECL - Publish MetLife Internal Ratings in Loan Rating file</t>
  </si>
  <si>
    <t>_Ready; CECL; MIS</t>
  </si>
  <si>
    <t>BHF: new compliance fields for ADW</t>
  </si>
  <si>
    <t>Send an email when Hedge Type is Added/Updated/Deleted</t>
  </si>
  <si>
    <t>_Ready; CLS; LMW</t>
  </si>
  <si>
    <t>The Financial Reporting category Change notification in LMW does not display the previous Financial Category</t>
  </si>
  <si>
    <t>BHF: Change column name in ADW</t>
  </si>
  <si>
    <t>Tenant data upload error</t>
  </si>
  <si>
    <t>Provide Commercial data for CECL CALCULATOR</t>
  </si>
  <si>
    <t>_Ready; Backshop; CECL; CLS; LMW; MIS; MSAS</t>
  </si>
  <si>
    <t>CLS System Admin Permissions to Update the Origination Date</t>
  </si>
  <si>
    <t>Check for Month End Accruals Release Process</t>
  </si>
  <si>
    <t>_Ready; Backshop; Backshop_Met</t>
  </si>
  <si>
    <t>GlobalREApps\Debt\Backshop</t>
  </si>
  <si>
    <t>Estimated Funding Date change</t>
  </si>
  <si>
    <t>Anderson, William</t>
  </si>
  <si>
    <t>Backshop</t>
  </si>
  <si>
    <t>CECL - Input CSV File field corrections</t>
  </si>
  <si>
    <t>_Ready; CECL; LMW</t>
  </si>
  <si>
    <t>Allocation Reminder Notification</t>
  </si>
  <si>
    <t>Rate Lock Reminder Notification</t>
  </si>
  <si>
    <t>BHF Whole Loan - Loan Allocation Issue and Notification: MIM Approval Notification</t>
  </si>
  <si>
    <t>Email from Loan Manager and Producer Link in LMW Loan Header does not include the Loan Number</t>
  </si>
  <si>
    <t>Revise the highlight color coding logic in the LMW Maturity Report</t>
  </si>
  <si>
    <t>Change GA Reportable to Delegated Authority Reportable in LMW</t>
  </si>
  <si>
    <t>Loan Search - Report run and export issues</t>
  </si>
  <si>
    <t>Debt; High Risk; Loan Search; MIS</t>
  </si>
  <si>
    <t>BHF : Incorrect REI Market Area &amp; attributes in MIS and upstream systems</t>
  </si>
  <si>
    <t>Subledger data break - Fix for loan#703141</t>
  </si>
  <si>
    <t>MIS; Problem</t>
  </si>
  <si>
    <t>Market Value : Caps and Floors Error</t>
  </si>
  <si>
    <t>_Ready; Market Value; MIS</t>
  </si>
  <si>
    <t>MARS - Step rate loans incorrectly categorized as ARMs in MIS due to EDM field MetLifeInterestType consumption derivation logic changed.</t>
  </si>
  <si>
    <t>_Ready; MARS; MIS</t>
  </si>
  <si>
    <t>MIS_PAMTransExtract Load Batch Job update</t>
  </si>
  <si>
    <t>MIS : Company name issue - AVIVA Life &amp; Pensions UK Limited</t>
  </si>
  <si>
    <t>MIS; Technical Debt</t>
  </si>
  <si>
    <t>MIS Veracode Findings 2019 - High Flaws</t>
  </si>
  <si>
    <t>MIS; Technical Debt; Veracode</t>
  </si>
  <si>
    <t>MIS Asset File is missing country sub div codes</t>
  </si>
  <si>
    <t>_Ready; EDM Sub Div Code; MIS</t>
  </si>
  <si>
    <t>MARS : MIS consumption of TDR fields</t>
  </si>
  <si>
    <t>Incorrect Property Type - Schedule B</t>
  </si>
  <si>
    <t>Active</t>
  </si>
  <si>
    <t>_Ready; MIS; Sched B</t>
  </si>
  <si>
    <t>MIS Domain Mapping - missing Country Admin Subdivision</t>
  </si>
  <si>
    <t>New</t>
  </si>
  <si>
    <t>Data at rest encryption</t>
  </si>
  <si>
    <t>Ethical Hack: Remediate PrimeOn - medium flaws – Phase 3</t>
  </si>
  <si>
    <t>AG : Servicer compare report enhancement</t>
  </si>
  <si>
    <t>_Ready; AG; MIS</t>
  </si>
  <si>
    <t>Portfolio code expansion - Phase 1</t>
  </si>
  <si>
    <t>LMW: Create OneSource feed</t>
  </si>
  <si>
    <t>Jacobs, Julie</t>
  </si>
  <si>
    <t>Portfolio code expansion - Phase 2</t>
  </si>
  <si>
    <t>LMW Actual Unfunded Amount in cube- Correct calculation</t>
  </si>
  <si>
    <t>MARS: PAM Conversion, RESI Account Reclass Sept/2019</t>
  </si>
  <si>
    <t>Debt; MARS; MIS</t>
  </si>
  <si>
    <t>Digital Portal: Loan Ratings JSON</t>
  </si>
  <si>
    <t>_Ready; Digital Portal; Langhorne; LMW</t>
  </si>
  <si>
    <t>Langhore: Loan Ratings JSON Implementation</t>
  </si>
  <si>
    <t>CECL; Digital Portal; Framework; Langhorne; LMW</t>
  </si>
  <si>
    <t>MIS Loan search - ACLI Property Type changes on report generation</t>
  </si>
  <si>
    <t>MIS</t>
  </si>
  <si>
    <t>MIS Veracode Findings 2019 - Medium Flaws</t>
  </si>
  <si>
    <t>Consumption of CECL Calculator Output File - Enchance CLS</t>
  </si>
  <si>
    <t>CECL; CLS</t>
  </si>
  <si>
    <t>Langhorne: Property JSON Implementation</t>
  </si>
  <si>
    <t>_Ready; Digital Portal; Framework; Langhorne</t>
  </si>
  <si>
    <t>Digital Portal: Building JSON Implementataion</t>
  </si>
  <si>
    <t>Digital Portal; Framework; Langhorne</t>
  </si>
  <si>
    <t>MIS : Quarterly Report Changes for Client Portal</t>
  </si>
  <si>
    <t>MIS : Charles River Code Failure fix</t>
  </si>
  <si>
    <t>MIS : Portfolio Exposure Data Dump Report Enhancement</t>
  </si>
  <si>
    <t>Backshop Field Extract for MIST</t>
  </si>
  <si>
    <t>FTP Activities for Backshop Field Extract for MIST</t>
  </si>
  <si>
    <t>Backshop; Backshop_Met</t>
  </si>
  <si>
    <t>Revisions and additions to the REI Market Area reference data_Backshop</t>
  </si>
  <si>
    <t>Increase the Commitment Fee (BPS) field size from 1 decimal to 2 decimal places in MIM notification</t>
  </si>
  <si>
    <t>BackShop Audit file generation delays</t>
  </si>
  <si>
    <t>Backshop; Backshop_Met; Japan Item</t>
  </si>
  <si>
    <t>Calculate Relative Value for Comm and AG Assets</t>
  </si>
  <si>
    <t>_Spike; Backshop; Backshop_Met</t>
  </si>
  <si>
    <t>Capitalized Interest Transactions</t>
  </si>
  <si>
    <t>_Spike; CLS</t>
  </si>
  <si>
    <t>Insert New REI Market Areas and revise several existing</t>
  </si>
  <si>
    <t>LMW</t>
  </si>
  <si>
    <t>SFR loans to CLS from Midland</t>
  </si>
  <si>
    <t>Lopez, Ascension</t>
  </si>
  <si>
    <t>Discovery: Move calculation of price from MIS to LMW</t>
  </si>
  <si>
    <t>_Spike; LMW</t>
  </si>
  <si>
    <t>Discovery: Add a new data field for Investor Summary Commentary in LMW Watchlist comments control</t>
  </si>
  <si>
    <t>_Spike; LMW; MIM Client Portal</t>
  </si>
  <si>
    <t>EMEA data for Dublin Bank - Paid in full loans</t>
  </si>
  <si>
    <t>Langhorne: Transactions JSON Implementation</t>
  </si>
  <si>
    <t>_Ready; CLS; Digital Portal; Framework; Langhorne</t>
  </si>
  <si>
    <t>Langhorne: Commitment JSON Implementation</t>
  </si>
  <si>
    <t>CECL; Digital Portal; Framework; Langhorne</t>
  </si>
  <si>
    <t>Langhorne: Property Valuation JSON</t>
  </si>
  <si>
    <t>_R; Digital Portal; Langhorne; MIS</t>
  </si>
  <si>
    <t>Langhorne - Asset (Loan) Masters JSON NEW ELEMENTS to EDM</t>
  </si>
  <si>
    <t>Digital Portal; Langhorne</t>
  </si>
  <si>
    <t>Phase 1: Move calculation of price from MIS to LMW</t>
  </si>
  <si>
    <t>Portfolio code expansion - Phase 3</t>
  </si>
  <si>
    <t>Langhorne ME - Asset Rating JSON</t>
  </si>
  <si>
    <t>CLS; Langhorne; LMW</t>
  </si>
  <si>
    <t>Langhorne ME - Property Valuation JSON</t>
  </si>
  <si>
    <t>Langhorne ME - Position JSON</t>
  </si>
  <si>
    <t>Enrich NLS with new data elements</t>
  </si>
  <si>
    <t>_Spike; Backshop; Backshop_Met; MarkIT EDM</t>
  </si>
  <si>
    <t>Langhorne ME - Asset Master JSON</t>
  </si>
  <si>
    <t>Enhance Backshop/CLS/LMW systems to capture and store new data elements.</t>
  </si>
  <si>
    <t>Production Support - PI 2 2019 Debt</t>
  </si>
  <si>
    <t>Hopper, Jeff</t>
  </si>
  <si>
    <t>Backshop_Met; CLS; LMW; MIS</t>
  </si>
  <si>
    <t>Adding new balance fields in MIS for CECL Accounting and consume in MIS from CLS &amp; MSAS (Phase 2)</t>
  </si>
  <si>
    <t>CECL; CLS; MIS</t>
  </si>
  <si>
    <t>Generation of CECL Active Loans Accounting entries out of CLS(Phase 2)</t>
  </si>
  <si>
    <t>Adding new balance fields in CLS for CECL Accounting and publish to MIS (Phase 1)</t>
  </si>
  <si>
    <t>CECL - Additional corrections in CSV Input feed</t>
  </si>
  <si>
    <t>CECL; LMW</t>
  </si>
  <si>
    <t>Langhorne: Amortization Schedule in JSON Implementation</t>
  </si>
  <si>
    <t>Soundararajan, Madhan Kumar</t>
  </si>
  <si>
    <t>Discovery - Make non REI managed loans viewable</t>
  </si>
  <si>
    <t>Chile Commercial mortgages data for input into calculator</t>
  </si>
  <si>
    <t>Chile Commercial mortgages data for outbound into calculator</t>
  </si>
  <si>
    <t>PI
Sprint #</t>
  </si>
  <si>
    <t>Cloud Services
Sprint #</t>
  </si>
  <si>
    <t>Start Date</t>
  </si>
  <si>
    <t>End Date</t>
  </si>
  <si>
    <t>Release</t>
  </si>
  <si>
    <t>PI-Sprint</t>
  </si>
  <si>
    <t>Env</t>
  </si>
  <si>
    <t>Abbrev</t>
  </si>
  <si>
    <t>Red =
Holiday</t>
  </si>
  <si>
    <t>PI-8 
Sprint Dates</t>
  </si>
  <si>
    <t>April 2022</t>
  </si>
  <si>
    <t>(PI-8) 3-5</t>
  </si>
  <si>
    <t>DEV</t>
  </si>
  <si>
    <t>DA</t>
  </si>
  <si>
    <t>S</t>
  </si>
  <si>
    <t>M</t>
  </si>
  <si>
    <t>T</t>
  </si>
  <si>
    <t>W</t>
  </si>
  <si>
    <t>F</t>
  </si>
  <si>
    <t>(PI-8) 5-6</t>
  </si>
  <si>
    <t>SIT/INT</t>
  </si>
  <si>
    <t>SA</t>
  </si>
  <si>
    <t>PI-9
Sprint Dates</t>
  </si>
  <si>
    <t>(PI-8) 6</t>
  </si>
  <si>
    <t>UAT/QA</t>
  </si>
  <si>
    <t>UA</t>
  </si>
  <si>
    <t>(PI-9) 1</t>
  </si>
  <si>
    <t>PROD+DR</t>
  </si>
  <si>
    <t>PA</t>
  </si>
  <si>
    <t>May 2022</t>
  </si>
  <si>
    <t>(PI-8) 5-6
(PI-9) 1</t>
  </si>
  <si>
    <t>DY</t>
  </si>
  <si>
    <t>(PI-9) 1-2</t>
  </si>
  <si>
    <t>SY</t>
  </si>
  <si>
    <t>(PI-9) 2</t>
  </si>
  <si>
    <t>UY</t>
  </si>
  <si>
    <t>(PI-9) 3</t>
  </si>
  <si>
    <t>PY</t>
  </si>
  <si>
    <t>PI-10</t>
  </si>
  <si>
    <t>June 2022</t>
  </si>
  <si>
    <t>DU</t>
  </si>
  <si>
    <t>SU</t>
  </si>
  <si>
    <t>UU</t>
  </si>
  <si>
    <t>DF</t>
  </si>
  <si>
    <t>(PI-8) 4</t>
  </si>
  <si>
    <t>PU</t>
  </si>
  <si>
    <t>July 2022</t>
  </si>
  <si>
    <t>DL</t>
  </si>
  <si>
    <t>SL</t>
  </si>
  <si>
    <t>UL</t>
  </si>
  <si>
    <t>Planned</t>
  </si>
  <si>
    <t>Available=Actual - Holidays</t>
  </si>
  <si>
    <t>PL</t>
  </si>
  <si>
    <t>April</t>
  </si>
  <si>
    <t>Aug 2022</t>
  </si>
  <si>
    <t>DG</t>
  </si>
  <si>
    <t>SG</t>
  </si>
  <si>
    <t>UG</t>
  </si>
  <si>
    <t>PG</t>
  </si>
  <si>
    <t>Abbreviations</t>
  </si>
  <si>
    <t>Environments</t>
  </si>
  <si>
    <t>Months</t>
  </si>
  <si>
    <t>Ninjas</t>
  </si>
  <si>
    <t>(Legend)</t>
  </si>
  <si>
    <t>J = January</t>
  </si>
  <si>
    <t>L = July</t>
  </si>
  <si>
    <t>PA,DY</t>
  </si>
  <si>
    <t>D = Dev</t>
  </si>
  <si>
    <t>F = February</t>
  </si>
  <si>
    <t>G = August</t>
  </si>
  <si>
    <t>S = SIT/INT</t>
  </si>
  <si>
    <t>M = March</t>
  </si>
  <si>
    <t>S = September</t>
  </si>
  <si>
    <t>DY,SY</t>
  </si>
  <si>
    <t>U = UAT/QA</t>
  </si>
  <si>
    <t>A = April</t>
  </si>
  <si>
    <t>O = October</t>
  </si>
  <si>
    <t>P = PROD+DR</t>
  </si>
  <si>
    <t>Y = May</t>
  </si>
  <si>
    <t>N = November</t>
  </si>
  <si>
    <t>U = June</t>
  </si>
  <si>
    <t>D = December</t>
  </si>
  <si>
    <t>May</t>
  </si>
  <si>
    <t>swapna</t>
  </si>
  <si>
    <t>UY,DU</t>
  </si>
  <si>
    <t>abhijith</t>
  </si>
  <si>
    <t>Krishna</t>
  </si>
  <si>
    <t>PY,DU</t>
  </si>
  <si>
    <t>Prasob</t>
  </si>
  <si>
    <t>1/24,2/18</t>
  </si>
  <si>
    <t>lokesh</t>
  </si>
  <si>
    <t>1/27,28; 2/14,15;</t>
  </si>
  <si>
    <t>manoj</t>
  </si>
  <si>
    <t>smba</t>
  </si>
  <si>
    <t>1/17,18; march 5 days</t>
  </si>
  <si>
    <t>Aravind</t>
  </si>
  <si>
    <t>Ashish</t>
  </si>
  <si>
    <t>Anoop</t>
  </si>
  <si>
    <t>Abdul Hanan</t>
  </si>
  <si>
    <t>Mala</t>
  </si>
  <si>
    <t>Vijay</t>
  </si>
  <si>
    <t>Pradeep</t>
  </si>
  <si>
    <t>Black Widow</t>
  </si>
  <si>
    <t>Name</t>
  </si>
  <si>
    <t>Team</t>
  </si>
  <si>
    <t>Allotment</t>
  </si>
  <si>
    <t>S1</t>
  </si>
  <si>
    <t>S2</t>
  </si>
  <si>
    <t>S3</t>
  </si>
  <si>
    <t>S4</t>
  </si>
  <si>
    <t>S5</t>
  </si>
  <si>
    <t>S6</t>
  </si>
  <si>
    <t>Captain America</t>
  </si>
  <si>
    <t>Commit</t>
  </si>
  <si>
    <t>AJ</t>
  </si>
  <si>
    <t>Abhijith Jayakumar</t>
  </si>
  <si>
    <t>The Ninjas</t>
  </si>
  <si>
    <t>Hulk</t>
  </si>
  <si>
    <t>Resolved</t>
  </si>
  <si>
    <t>JB</t>
  </si>
  <si>
    <t>Jagadeesan Balasubramanian</t>
  </si>
  <si>
    <t>Ironman</t>
  </si>
  <si>
    <t>Stretch</t>
  </si>
  <si>
    <t>KCK</t>
  </si>
  <si>
    <t>Krishna chandar kandula</t>
  </si>
  <si>
    <t>Vision</t>
  </si>
  <si>
    <t>Vendor</t>
  </si>
  <si>
    <t>KN</t>
  </si>
  <si>
    <t>Krishnaraj Nagaraj</t>
  </si>
  <si>
    <t>LS</t>
  </si>
  <si>
    <t>Lokeshwaran Sankar</t>
  </si>
  <si>
    <t>MM</t>
  </si>
  <si>
    <t>Manoj Madhavan</t>
  </si>
  <si>
    <t>MHA</t>
  </si>
  <si>
    <t>Meraj Husen Ansari</t>
  </si>
  <si>
    <t>AN</t>
  </si>
  <si>
    <t>AM</t>
  </si>
  <si>
    <t>ASU</t>
  </si>
  <si>
    <t>JR</t>
  </si>
  <si>
    <t>MN</t>
  </si>
  <si>
    <t>RB</t>
  </si>
  <si>
    <t>VS</t>
  </si>
  <si>
    <t>VG</t>
  </si>
  <si>
    <t>AC</t>
  </si>
  <si>
    <t>VA</t>
  </si>
  <si>
    <t>PN</t>
  </si>
  <si>
    <t>Prasob Nambuthodiyil</t>
  </si>
  <si>
    <t>SSRP</t>
  </si>
  <si>
    <t>Samba siva rao prudhivi</t>
  </si>
  <si>
    <t>SS</t>
  </si>
  <si>
    <r>
      <t>Shibu Swaminathan (</t>
    </r>
    <r>
      <rPr>
        <sz val="10"/>
        <color rgb="FFFF0000"/>
        <rFont val="Calibri"/>
        <family val="2"/>
        <scheme val="minor"/>
      </rPr>
      <t>repl</t>
    </r>
    <r>
      <rPr>
        <sz val="10"/>
        <color theme="1"/>
        <rFont val="Calibri"/>
        <family val="2"/>
        <scheme val="minor"/>
      </rPr>
      <t>)</t>
    </r>
  </si>
  <si>
    <t>SwM</t>
  </si>
  <si>
    <r>
      <t>Swapna Madhu (</t>
    </r>
    <r>
      <rPr>
        <sz val="10"/>
        <color rgb="FFFF0000"/>
        <rFont val="Calibri"/>
        <family val="2"/>
        <scheme val="minor"/>
      </rPr>
      <t>Bishva</t>
    </r>
    <r>
      <rPr>
        <sz val="10"/>
        <color theme="1"/>
        <rFont val="Calibri"/>
        <family val="2"/>
        <scheme val="minor"/>
      </rPr>
      <t>)</t>
    </r>
  </si>
  <si>
    <t>Abdul Naik</t>
  </si>
  <si>
    <t>Samurai</t>
  </si>
  <si>
    <t>Anoop Mohan</t>
  </si>
  <si>
    <t>Aravind Syama Unni</t>
  </si>
  <si>
    <t>Dana Fillhart</t>
  </si>
  <si>
    <t>Johnson Robin</t>
  </si>
  <si>
    <t>Krishnaraj Nagarajan</t>
  </si>
  <si>
    <t>Mala Nadar</t>
  </si>
  <si>
    <t>Rahul Bishnoi</t>
  </si>
  <si>
    <t>Varun Sundar</t>
  </si>
  <si>
    <t>Vilasini Ganesan</t>
  </si>
  <si>
    <t>Ashish Chourey</t>
  </si>
  <si>
    <t>Vijay Amirtharaj</t>
  </si>
  <si>
    <t>what does 1,2,3,5 SP mean?</t>
  </si>
  <si>
    <t>1- 1-10</t>
  </si>
  <si>
    <t>2 -10-30</t>
  </si>
  <si>
    <t>3 -30-50</t>
  </si>
  <si>
    <t>5 - 50-70</t>
  </si>
  <si>
    <t/>
  </si>
  <si>
    <t>Sprint 1</t>
  </si>
  <si>
    <t>Sprint 2</t>
  </si>
  <si>
    <t>Sprint 3</t>
  </si>
  <si>
    <t>Sprint 4</t>
  </si>
  <si>
    <t>Sprint 5</t>
  </si>
  <si>
    <t>Sprint 6</t>
  </si>
  <si>
    <t>Apr</t>
  </si>
  <si>
    <t>Core</t>
  </si>
  <si>
    <t>PI-8 Samurai Work Items - Boards (azure.com)</t>
  </si>
  <si>
    <t>Resource</t>
  </si>
  <si>
    <t xml:space="preserve">Story points
 total till 7/12 </t>
  </si>
  <si>
    <t>Product description</t>
  </si>
  <si>
    <t>Product Release</t>
  </si>
  <si>
    <t>Priority #</t>
  </si>
  <si>
    <t>Samurai Resource</t>
  </si>
  <si>
    <t>Available Hours:
Pulled from Resource Planning till 7/12
DO NOT EDIT</t>
  </si>
  <si>
    <t>NinJa Sprint</t>
  </si>
  <si>
    <t>Sprint DevOps</t>
  </si>
  <si>
    <t>Sprint PI</t>
  </si>
  <si>
    <t>BAU</t>
  </si>
  <si>
    <t>PROOF</t>
  </si>
  <si>
    <t>GRID</t>
  </si>
  <si>
    <t>DOS</t>
  </si>
  <si>
    <t>IDC</t>
  </si>
  <si>
    <t>Databricks Optimization</t>
  </si>
  <si>
    <t>IDC2</t>
  </si>
  <si>
    <t>GDV</t>
  </si>
  <si>
    <t>DOS RESI</t>
  </si>
  <si>
    <t>Rewiring</t>
  </si>
  <si>
    <t>UNASSIGNED</t>
  </si>
  <si>
    <t>Historical Load</t>
  </si>
  <si>
    <t>Combined Available story points total till 4/15</t>
  </si>
  <si>
    <t>Actual story points total til 4/15</t>
  </si>
  <si>
    <t>(Pulled from the Resource Planning tab - DO NOT EDIT)</t>
  </si>
  <si>
    <t>GRIDAdjustments</t>
  </si>
  <si>
    <t>GRIDTestAutomation</t>
  </si>
  <si>
    <t>DOS BAU</t>
  </si>
  <si>
    <t>MIS Refactoring</t>
  </si>
  <si>
    <t>ResidentialLoans</t>
  </si>
  <si>
    <t>DatabricksPlatformOptimization</t>
  </si>
  <si>
    <t>IDC Rewiring</t>
  </si>
  <si>
    <t>RE Equity</t>
  </si>
  <si>
    <t>Release-on-Demand</t>
  </si>
  <si>
    <t>TechDebt</t>
  </si>
  <si>
    <t>Untagged</t>
  </si>
  <si>
    <t>93,94,95</t>
  </si>
  <si>
    <t>lot of work tracking</t>
  </si>
  <si>
    <t>Tags (Column M)</t>
  </si>
  <si>
    <t>Core Data Services</t>
  </si>
  <si>
    <t>Vilasini/Krishnaraj/Dana to discuss for IDC 2</t>
  </si>
  <si>
    <t>(need placeholders for rewiring and GDV)</t>
  </si>
  <si>
    <t>Core Data Services\Cloud Services</t>
  </si>
  <si>
    <t>Krishnaraj to talk to Varun for IDC2 API stories</t>
  </si>
  <si>
    <t>93,94</t>
  </si>
  <si>
    <t>5% for calls and IDC</t>
  </si>
  <si>
    <t>93,94,95,97</t>
  </si>
  <si>
    <t>93,94,97</t>
  </si>
  <si>
    <t>65 story points</t>
  </si>
  <si>
    <t>154 SP</t>
  </si>
  <si>
    <t>54 Unassigned points</t>
  </si>
  <si>
    <t>93,94,95,96</t>
  </si>
  <si>
    <t>Dependency</t>
  </si>
  <si>
    <t>Total SP ask</t>
  </si>
  <si>
    <t>Total SP assigned</t>
  </si>
  <si>
    <t>% complete</t>
  </si>
  <si>
    <t>Product Releasae</t>
  </si>
  <si>
    <t>Available</t>
  </si>
  <si>
    <t>Actual</t>
  </si>
  <si>
    <t>Diff</t>
  </si>
  <si>
    <t>Percentage</t>
  </si>
  <si>
    <t>C o r e   D a t a    S e r v I c e s
(S a m u r a I s)</t>
  </si>
  <si>
    <t>VG , need scope and story</t>
  </si>
  <si>
    <t>QA team over allocation in excess of 100, ignore negative capacity. Excluding QA , we have 50+ additional SPs</t>
  </si>
  <si>
    <t>Varun/Dana, Create stories to support the buffer</t>
  </si>
  <si>
    <t>Shibu Swaminathan (repl)</t>
  </si>
  <si>
    <t>Shared Services
(NINJAs)</t>
  </si>
  <si>
    <t>PROOF BAU</t>
  </si>
  <si>
    <t>Adj</t>
  </si>
  <si>
    <t>iRIDER</t>
  </si>
  <si>
    <t>DONOT Delete below values</t>
  </si>
  <si>
    <t>Samurais: Proportional
Available Hours - Sprints 1-6</t>
  </si>
  <si>
    <t>Samurais - Proportional
Actual hours - Sprints 1-6</t>
  </si>
  <si>
    <t>Difference</t>
  </si>
  <si>
    <t>%</t>
  </si>
  <si>
    <t>Story points Total Available</t>
  </si>
  <si>
    <t>Story points ask upto 4/15</t>
  </si>
  <si>
    <t>Prasob update points in this column if changes are needed in F</t>
  </si>
  <si>
    <t>GRID / GRID Adj.</t>
  </si>
  <si>
    <t>Shared Services</t>
  </si>
  <si>
    <t>Abhijith</t>
  </si>
  <si>
    <t>Manoj</t>
  </si>
  <si>
    <t>ADJ</t>
  </si>
  <si>
    <t>IDC-2</t>
  </si>
  <si>
    <t>Samba</t>
  </si>
  <si>
    <t>Swapna</t>
  </si>
  <si>
    <t>Shiju</t>
  </si>
  <si>
    <t>Jagan</t>
  </si>
  <si>
    <t>IDC 2</t>
  </si>
  <si>
    <t>Krishnaraj</t>
  </si>
  <si>
    <t>Meraj</t>
  </si>
  <si>
    <t>Sum of Story Points</t>
  </si>
  <si>
    <t>Column Labels</t>
  </si>
  <si>
    <t>Row Labels</t>
  </si>
  <si>
    <t>Abdul Nathik Abdul Hanan Najjar &lt;abdulnathik.abdulhanannajjar@metlife.com&gt;</t>
  </si>
  <si>
    <t>Abhijith Jayakumar &lt;abhijith.jayakumar@metlife.com&gt;</t>
  </si>
  <si>
    <t>Anoop Mohandas Sheelarani &lt;anoop.mohandas-sheelarani@metlife.com&gt;</t>
  </si>
  <si>
    <t>Jagadeesan Balasubramanian &lt;jbalasubramanian1@metlife.com&gt;</t>
  </si>
  <si>
    <t>Krishna Chandar Kandula &lt;krishna-chandar.kandula@metlife.com&gt;</t>
  </si>
  <si>
    <t>Krishnaraj Nagarajan &lt;krishnaraj.nagarajan@metlife.com&gt;</t>
  </si>
  <si>
    <t>Lokeshwaran Sankar &lt;lokeshwaran.sankar@metlife.com&gt;</t>
  </si>
  <si>
    <t>Manoj Madhavan &lt;manoj.madhavan@metlife.com&gt;</t>
  </si>
  <si>
    <t>Meraj Husen Ansari &lt;merajhusen.ansari@metlife.com&gt;</t>
  </si>
  <si>
    <t>Prasob Nambuthodiyil &lt;prasob.nambuthodiyil@metlife.com&gt;</t>
  </si>
  <si>
    <t>Samba siva Rao Prudhivi &lt;sambasivarao.prudhivi@metlife.com&gt;</t>
  </si>
  <si>
    <t>Shibu Swaminathan &lt;shibu.swaminathan@metlife.com&gt;</t>
  </si>
  <si>
    <t>Shiju Mathew &lt;shiju.mathew@metlife.com&gt;</t>
  </si>
  <si>
    <t>Swapna Madhu &lt;swapna.madhu@metlife.com&gt;</t>
  </si>
  <si>
    <t>(blank)</t>
  </si>
  <si>
    <t>Grand Total</t>
  </si>
  <si>
    <t>ADJUI</t>
  </si>
  <si>
    <t>IRIDER</t>
  </si>
  <si>
    <t>Sprint</t>
  </si>
  <si>
    <t>Delivered Story Points</t>
  </si>
  <si>
    <t>Total Story Points</t>
  </si>
  <si>
    <t>velocity</t>
  </si>
  <si>
    <t>capacity in hrs</t>
  </si>
  <si>
    <t>PI6</t>
  </si>
  <si>
    <t>Avg Story points per resource</t>
  </si>
  <si>
    <t>PI7</t>
  </si>
  <si>
    <t>Considering holidays, timeoff, team story point capacity/sprint:</t>
  </si>
  <si>
    <t>GRID Allocation</t>
  </si>
  <si>
    <t>DOS Allocation</t>
  </si>
  <si>
    <t>PI 8</t>
  </si>
  <si>
    <t>From Brian</t>
  </si>
  <si>
    <t>Testing and Deploying Master Data Synch</t>
  </si>
  <si>
    <t>Complete changes for Privates Placement Multi-Currency</t>
  </si>
  <si>
    <t>Complete UI and begin IT testing for Private Structured Credit</t>
  </si>
  <si>
    <t>Entitlement enhancements for Data and Documents separation</t>
  </si>
  <si>
    <t>Development for Residential Loans</t>
  </si>
  <si>
    <t>Implement Document Streaming</t>
  </si>
  <si>
    <t>Automate MIM Relationship Portal contacts</t>
  </si>
  <si>
    <t>Screen design for RE Equity (No Development)</t>
  </si>
  <si>
    <t>manual</t>
  </si>
  <si>
    <t>(auto populate)</t>
  </si>
  <si>
    <t>manual ( H= J for beginning). Periodically(SOS) manually reduce</t>
  </si>
  <si>
    <t>auto</t>
  </si>
  <si>
    <t xml:space="preserve">manual </t>
  </si>
  <si>
    <t>auto (equally distributing)</t>
  </si>
  <si>
    <t>&lt;&lt; not being used&gt;&gt;</t>
  </si>
  <si>
    <t>WSJF</t>
  </si>
  <si>
    <t>Business Value</t>
  </si>
  <si>
    <t>Size</t>
  </si>
  <si>
    <t>Rem Effort</t>
  </si>
  <si>
    <t>Remaining Size</t>
  </si>
  <si>
    <t>Category</t>
  </si>
  <si>
    <t xml:space="preserve">Start in </t>
  </si>
  <si>
    <t>Deliver in</t>
  </si>
  <si>
    <t>Duration</t>
  </si>
  <si>
    <t>s6</t>
  </si>
  <si>
    <t>INT</t>
  </si>
  <si>
    <t xml:space="preserve">QA </t>
  </si>
  <si>
    <t>Prod</t>
  </si>
  <si>
    <t>% Complete</t>
  </si>
  <si>
    <t>Actual Business Value</t>
  </si>
  <si>
    <t>N</t>
  </si>
  <si>
    <t>Tenant Onboarding</t>
  </si>
  <si>
    <t>Framework</t>
  </si>
  <si>
    <t>IDC: Phase 2 : Design part 1</t>
  </si>
  <si>
    <t>IDC: Phase 2:  Implementation - Part 1</t>
  </si>
  <si>
    <t>DOS: Reserve capacity for Next PI Planning, System Demo and Innovation</t>
  </si>
  <si>
    <t>PROOF: Reserve capacity for Next PI Planning, System Demo and Innovation</t>
  </si>
  <si>
    <t>Orig Effort Needed:</t>
  </si>
  <si>
    <t>Current</t>
  </si>
  <si>
    <t>Committed:</t>
  </si>
  <si>
    <t>Stretch/vendor:</t>
  </si>
  <si>
    <t>Orig Effort Available</t>
  </si>
  <si>
    <t>Delivered</t>
  </si>
  <si>
    <t>Total Items</t>
  </si>
  <si>
    <t>Trend:</t>
  </si>
  <si>
    <t>`</t>
  </si>
  <si>
    <t>CA</t>
  </si>
  <si>
    <t>H</t>
  </si>
  <si>
    <t>IM</t>
  </si>
  <si>
    <t>TB</t>
  </si>
  <si>
    <t>PI Start date:</t>
  </si>
  <si>
    <t>Today's Date:</t>
  </si>
  <si>
    <t>Next steps</t>
  </si>
  <si>
    <t>Owner</t>
  </si>
  <si>
    <t>Due by</t>
  </si>
  <si>
    <r>
      <rPr>
        <b/>
        <sz val="9"/>
        <color theme="1"/>
        <rFont val="Calibri"/>
        <family val="2"/>
        <scheme val="minor"/>
      </rPr>
      <t>Product Manager(s):  Jatin Chauhan</t>
    </r>
    <r>
      <rPr>
        <sz val="9"/>
        <color theme="1"/>
        <rFont val="Calibri"/>
        <family val="2"/>
        <scheme val="minor"/>
      </rPr>
      <t xml:space="preserve">   </t>
    </r>
    <r>
      <rPr>
        <b/>
        <sz val="9"/>
        <color theme="1"/>
        <rFont val="Calibri"/>
        <family val="2"/>
        <scheme val="minor"/>
      </rPr>
      <t xml:space="preserve"> </t>
    </r>
  </si>
  <si>
    <t>Create features in AzDO</t>
  </si>
  <si>
    <t>Dana/Vilasini/Jagan</t>
  </si>
  <si>
    <t>Total Ask</t>
  </si>
  <si>
    <t>Orig Eff</t>
  </si>
  <si>
    <t>Scrum Master</t>
  </si>
  <si>
    <t>Product Owner</t>
  </si>
  <si>
    <t>Team Size S1</t>
  </si>
  <si>
    <t>Team Size S2</t>
  </si>
  <si>
    <t>Team Size S3</t>
  </si>
  <si>
    <t>Team Size S4</t>
  </si>
  <si>
    <t>Team Size S5</t>
  </si>
  <si>
    <t>Team Size S6</t>
  </si>
  <si>
    <t>Create stories in AzDO</t>
  </si>
  <si>
    <t>Jatin Chauhan</t>
  </si>
  <si>
    <t>Create Objectives, risks, Question</t>
  </si>
  <si>
    <t>Jatin/Dana/Vilasini/Jagan</t>
  </si>
  <si>
    <t>Size Available Vs Need</t>
  </si>
  <si>
    <t>Vilasini</t>
  </si>
  <si>
    <t>Assumption</t>
  </si>
  <si>
    <t>8 Story points assumed to be delivered by a team member in given sprint</t>
  </si>
  <si>
    <t>Totals</t>
  </si>
  <si>
    <t>GRID/DOS</t>
  </si>
  <si>
    <t>Rem Ask</t>
  </si>
  <si>
    <t>Rem Eff</t>
  </si>
  <si>
    <t>Product</t>
  </si>
  <si>
    <t>Application Name(s)</t>
  </si>
  <si>
    <t>Outlook</t>
  </si>
  <si>
    <t>Deviation</t>
  </si>
  <si>
    <t>S1: need</t>
  </si>
  <si>
    <t>S1: avail</t>
  </si>
  <si>
    <t>S2: need</t>
  </si>
  <si>
    <t>S2: avail</t>
  </si>
  <si>
    <t>S3: need</t>
  </si>
  <si>
    <t>S3: avail</t>
  </si>
  <si>
    <t>S4: need</t>
  </si>
  <si>
    <t>S4: avail</t>
  </si>
  <si>
    <t>S5: need</t>
  </si>
  <si>
    <t>S5:avail</t>
  </si>
  <si>
    <t>S6: need</t>
  </si>
  <si>
    <t>S6:avail</t>
  </si>
  <si>
    <t>Check need</t>
  </si>
  <si>
    <t>Check avail</t>
  </si>
  <si>
    <t>IRIDER, PROOF, IDC</t>
  </si>
  <si>
    <t>GRID, DOS</t>
  </si>
  <si>
    <t>Sprints Remaining</t>
  </si>
  <si>
    <t>Start</t>
  </si>
  <si>
    <t>End</t>
  </si>
  <si>
    <t>Days remaining</t>
  </si>
  <si>
    <t>Total Days Remaining</t>
  </si>
  <si>
    <t>Sprint % Remaining</t>
  </si>
  <si>
    <t>Assumptions and Dependencies</t>
  </si>
  <si>
    <t>Sr. No.</t>
  </si>
  <si>
    <t>Assumption/Questions/Dependencies</t>
  </si>
  <si>
    <t>Action item</t>
  </si>
  <si>
    <t>MIM Digital Portal priority for Resi API Mapping</t>
  </si>
  <si>
    <t>Eng dependency for DOS containers for Resi</t>
  </si>
  <si>
    <t>Darryl to confirm</t>
  </si>
  <si>
    <t>MIM Digital Portal priority/Source dependency for Multicurrency for Commercial</t>
  </si>
  <si>
    <t>Brian to confirm dates</t>
  </si>
  <si>
    <t>GRID Adjustments - Eng Team dependency for PROD/DR and new Azure resources</t>
  </si>
  <si>
    <t>GRID Data Validator (GDV) - OSS/GARB dependency</t>
  </si>
  <si>
    <t>Architecture team (action item?)</t>
  </si>
  <si>
    <t>GRID Data Validator (GDV) - DevOps Dependency for making CICD readyf or each environment</t>
  </si>
  <si>
    <t>Deva to confirm</t>
  </si>
  <si>
    <t>Risks</t>
  </si>
  <si>
    <t>Databricks pool implementation is very detailed and intrusive, need to ensure DOS is onboarded successfully without any impact, it will help with resource contraint on platform and improve performance</t>
  </si>
  <si>
    <t>Eng. And DevOps team dependency for GRID Data Validator new capability pipelines</t>
  </si>
  <si>
    <t>Note - we need these features separated by app in other contexts, please separate your app in the Feature Numbers</t>
  </si>
  <si>
    <t>PI Objective - Jan 2022</t>
  </si>
  <si>
    <t>Feature Numbers</t>
  </si>
  <si>
    <t>BV Owner</t>
  </si>
  <si>
    <t>BV Score</t>
  </si>
  <si>
    <t>What is being delivered, whats the value, for who, by when</t>
  </si>
  <si>
    <t>Deliver Commercial and AG asset class data domain related changes for MIS Refactoring program for Feb and Mar 2022 that will enable MIS application retirement for MIM business domain</t>
  </si>
  <si>
    <t xml:space="preserve">GRID: 
DOS:  460402, 476563
PROOF: </t>
  </si>
  <si>
    <t>Jatin</t>
  </si>
  <si>
    <t>Onboard Residential asset class to GRID and DOS for Digital Data Platform and Portal through PROOF</t>
  </si>
  <si>
    <t xml:space="preserve">GRID: 
DOS:  458720, 463287, 463288, 463289, 476561
PROOF: </t>
  </si>
  <si>
    <t>Brian</t>
  </si>
  <si>
    <t>Onboard Commercial, AG, Private Placement and Private ABS asset class data domain related changes to DOS per business requirement for month of Feb, Mar and Apr 2022, example Rewiring of contacts to pull from Salesforce</t>
  </si>
  <si>
    <t xml:space="preserve">GRID: 
DOS:  
    PABS:  456476 (Feb), 476531 (Mar), 476538 (Apr)
    PrPl:  456465 (Feb), 476530 (Mar), 476537 (Apr)
    Coml:  456443 (Feb), 476529 (Mar), 476533 (Apr)
    Agri:  456454 (Feb), 476528 (Mar), 476532 (Apr)
    Misc:  476543 (App Readiness Updates)
PROOF: </t>
  </si>
  <si>
    <t>Deliver enhancements to GRID Adjustments portal based on business user feedback</t>
  </si>
  <si>
    <t>GRID:
DOS:  N/A
PROOF:</t>
  </si>
  <si>
    <t>GP</t>
  </si>
  <si>
    <t>Enable automation of queries onboarding to IDC platform per consumer need through a rich UI that allows user to build query, see output and query data stored in GRID for given dataset</t>
  </si>
  <si>
    <t xml:space="preserve">GRID: 
DOS:  473580
PROOF: </t>
  </si>
  <si>
    <t>Deliver fit for purpose data based on consumer needs through IDC with new queries onboarding or modification to existing queries including optimization of queries</t>
  </si>
  <si>
    <t xml:space="preserve">GRID: 
DOS:  N/A
PROOF: </t>
  </si>
  <si>
    <t>Implement central data validation capability on top of Investments Data Lake (GRID) with detailed dashboards providing relevant information to data stewards, support and product teams and in turn help improve data quality on digital platforms</t>
  </si>
  <si>
    <t>PROOF, GRID, DALFI, DOS, , IDC, IRIDER  Tech Debt efforts and Optmization: Identify processes and code base needing optimization and fine tune to enhance overall data platform processes performance, SLA, data quality, delivery optimization, SPN+Cert+KV expiry management, DataBricks cluster pools and repo</t>
  </si>
  <si>
    <t xml:space="preserve">GRID: 
DOS:  478268, 476539, 476564, 460322
PROOF: </t>
  </si>
  <si>
    <t>Continue hydrating lake with additional data domains that meets MIM client reporting, MMR, RE Equity,  and SecLending business needs</t>
  </si>
  <si>
    <t xml:space="preserve">GRID: 
DOS:  476583 (Pub. Corp. Analysis), 476566 (RE Eq. Analysis)
PROOF: </t>
  </si>
  <si>
    <t>Deliver PROOF automated testing capability Phase 2 that will reduce manual testing efforts and improve code quality delivered to PROD env; Partially deliver automated testing efforts for GRID and DOS;</t>
  </si>
  <si>
    <t xml:space="preserve">GRID: 
DOS:  N/A  (efforts done on PROOF side; DOS team to assist with testing)
PROOF:  </t>
  </si>
  <si>
    <t>IRIDER Feb, Mar, Apr releases to support Tenant application changes and BAU</t>
  </si>
  <si>
    <t>Count of ID</t>
  </si>
  <si>
    <t>Innovation</t>
  </si>
  <si>
    <t>Data360</t>
  </si>
  <si>
    <t>Power BI</t>
  </si>
  <si>
    <t>Decom</t>
  </si>
  <si>
    <t>Category-Team</t>
  </si>
  <si>
    <t>Sum of % Complete</t>
  </si>
  <si>
    <t>Sum of Planned Business Value</t>
  </si>
  <si>
    <t>Sum of Actual Business Value</t>
  </si>
  <si>
    <t>Number of Features</t>
  </si>
  <si>
    <t>Percent complete</t>
  </si>
  <si>
    <t>% Planned</t>
  </si>
  <si>
    <t>% Completed</t>
  </si>
  <si>
    <t>BHF</t>
  </si>
  <si>
    <t>CECL</t>
  </si>
  <si>
    <t>InvestmentTypeClassification</t>
  </si>
  <si>
    <t>MIM-AIC</t>
  </si>
  <si>
    <t>Support</t>
  </si>
  <si>
    <t>Decom/Digital</t>
  </si>
  <si>
    <t>Argus</t>
  </si>
  <si>
    <t>Tech Debt</t>
  </si>
  <si>
    <t>Reporting</t>
  </si>
  <si>
    <t>Compliance</t>
  </si>
  <si>
    <t>TEBOW</t>
  </si>
  <si>
    <t>MIM</t>
  </si>
  <si>
    <t>OWS</t>
  </si>
  <si>
    <t>SOFR/SONIA</t>
  </si>
  <si>
    <t>Sum of Delivered Business Value</t>
  </si>
  <si>
    <t>Sprint Goal (Determine what main focus/objective for your Sprint and should be subset into your PI Objectives)</t>
  </si>
  <si>
    <t>Confidence Vote (1 lowest -5 highest)</t>
  </si>
  <si>
    <t>IDC Phase 2</t>
  </si>
  <si>
    <t>Adjustment UI</t>
  </si>
  <si>
    <t>June</t>
  </si>
  <si>
    <t>July</t>
  </si>
  <si>
    <t>August</t>
  </si>
  <si>
    <t>(PI-9) 1-3</t>
  </si>
  <si>
    <t>(PI-9) 3-4</t>
  </si>
  <si>
    <t>Jun</t>
  </si>
  <si>
    <t>Jul</t>
  </si>
  <si>
    <t>Release on Demand</t>
  </si>
  <si>
    <t>SAMURAIS</t>
  </si>
  <si>
    <t>NINJAS</t>
  </si>
  <si>
    <t>SA, UA, DY</t>
  </si>
  <si>
    <t>UA, DY</t>
  </si>
  <si>
    <t>SY,UY</t>
  </si>
  <si>
    <t>DU,SU</t>
  </si>
  <si>
    <t>SU,DL</t>
  </si>
  <si>
    <t>SU,UU,DL</t>
  </si>
  <si>
    <t>UU,DL</t>
  </si>
  <si>
    <t>PU,DL</t>
  </si>
  <si>
    <t>DL,SL</t>
  </si>
  <si>
    <t>UL,DG</t>
  </si>
  <si>
    <t>PL,DG</t>
  </si>
  <si>
    <t>SL,UL</t>
  </si>
  <si>
    <t>DG,SG</t>
  </si>
  <si>
    <t>Samurais</t>
  </si>
  <si>
    <t>Sprint 98</t>
  </si>
  <si>
    <t>Sprint 99</t>
  </si>
  <si>
    <t>Sprint 100</t>
  </si>
  <si>
    <t>Sprint 101</t>
  </si>
  <si>
    <t>Sprint 102</t>
  </si>
  <si>
    <t>Sprint 103</t>
  </si>
  <si>
    <t>sprint 59</t>
  </si>
  <si>
    <t>sprint 60</t>
  </si>
  <si>
    <t>sprint 61</t>
  </si>
  <si>
    <t>sprint 62</t>
  </si>
  <si>
    <t>sprint 63</t>
  </si>
  <si>
    <t>sprint 64</t>
  </si>
  <si>
    <t>GRID - BAU 2022.05 Release (May 2022)</t>
  </si>
  <si>
    <t>GRID - BAU 2022.06 Release (June 2022)</t>
  </si>
  <si>
    <t>GRID - BAU 2022.07 Release (July 2022)</t>
  </si>
  <si>
    <t>GRID - BAU 2022.08 Release (August 2022)</t>
  </si>
  <si>
    <t>PROOF - BAU 2022.05 Release (May 2022)</t>
  </si>
  <si>
    <t>PROOF - BAU 2022.06 Release (June 2022)</t>
  </si>
  <si>
    <t>PROOF - BAU 2022.07 Release (July 2022)</t>
  </si>
  <si>
    <t>PROOF - BAU 2022.08 Release (August 2022)</t>
  </si>
  <si>
    <t>GRID Adjustments - BAU 2022.05 Release (May 2022)</t>
  </si>
  <si>
    <t>GRID Adjustments - BAU 2022.06 Release (June 2022)</t>
  </si>
  <si>
    <t>GRID Adjustments - BAU 2022.07 Release (July 2022)</t>
  </si>
  <si>
    <t>GRID Adjustments - BAU 2022.08 Release (August 2022)</t>
  </si>
  <si>
    <t>DOS - BAU 2022.05 Release (May 2022)</t>
  </si>
  <si>
    <t>DOS - BAU 2022.06 Release (June 2022)</t>
  </si>
  <si>
    <t>DOS - BAU 2022.07 Release (July 2022)</t>
  </si>
  <si>
    <t>DOS - BAU 2022.08 Release (August 2022)</t>
  </si>
  <si>
    <t>//</t>
  </si>
  <si>
    <t>GRID Automated Data Validations - May 2022</t>
  </si>
  <si>
    <t>GRID Automated Data Validations - June 2022</t>
  </si>
  <si>
    <t>GRID Automated Data Validations - July 2022</t>
  </si>
  <si>
    <t>GRID Automated Data Validations - August 2022</t>
  </si>
  <si>
    <t>IDC: Phase 2 -Implementation API for query designer</t>
  </si>
  <si>
    <t>IDC: Phase 2 -Implementation of query designer db</t>
  </si>
  <si>
    <t>IDC: Phase 2 -Implementation of Validation of Query Definition</t>
  </si>
  <si>
    <t>IDC: Phase 2 - Implementation of query builder Wizard</t>
  </si>
  <si>
    <t>IDC: Phase 2 - Implementation of Orchestration Automation</t>
  </si>
  <si>
    <t>DOS Residential</t>
  </si>
  <si>
    <t>DOS RE Equity</t>
  </si>
  <si>
    <t>PROOF QA Automation</t>
  </si>
  <si>
    <t>DOS QA Automation</t>
  </si>
  <si>
    <t>GRID QA Automation</t>
  </si>
  <si>
    <t>GRID/IDC Rewiring</t>
  </si>
  <si>
    <t>iRIDER - BAU 2022.05 Release (May 2022)</t>
  </si>
  <si>
    <t>iRIDER - BAU 2022.06 Release (June 2022)</t>
  </si>
  <si>
    <t>iRIDER - BAU 2022.07 Release (July 2022)</t>
  </si>
  <si>
    <t>iRIDER - BAU 2022.08 Release (August 2022)</t>
  </si>
  <si>
    <t>GRID/DOS/GRID Adj AM KT</t>
  </si>
  <si>
    <t>PROOF/IDC/iRIDER AM KT</t>
  </si>
  <si>
    <t>DOS - BAU 2022.05 Release (May 2022) - COML</t>
  </si>
  <si>
    <t>DOS - BAU 2022.05 Release (May 2022) - AGRI</t>
  </si>
  <si>
    <t>DOS - BAU 2022.05 Release (May 2022) - Privates/PABS</t>
  </si>
  <si>
    <t>DOS - BAU 2022.05 Release (May 2022) - SIT</t>
  </si>
  <si>
    <t>DOS - BAU 2022.05 Release (May 2022) - UAT</t>
  </si>
  <si>
    <t>story</t>
  </si>
  <si>
    <t>Task1</t>
  </si>
  <si>
    <t>Task2</t>
  </si>
  <si>
    <t>Task</t>
  </si>
  <si>
    <t>NINJA</t>
  </si>
  <si>
    <t>SAMURAI</t>
  </si>
  <si>
    <t>Proof - historical</t>
  </si>
  <si>
    <t>GRID: Reserve capacity for Next PI Planning, System Demo and Innovation</t>
  </si>
  <si>
    <t>Proof -allvue</t>
  </si>
  <si>
    <t>Future State data project</t>
  </si>
  <si>
    <t>PROOF-Future State Data Project</t>
  </si>
  <si>
    <t>PROOF - ESG Star</t>
  </si>
  <si>
    <t>Data Project - Client Reporting</t>
  </si>
  <si>
    <t>GRID REI Historical Load</t>
  </si>
  <si>
    <t>DOS IDC Rewiring</t>
  </si>
  <si>
    <t>GRID IDC - BAU 2022.05 Release (May 2022)</t>
  </si>
  <si>
    <t>GRID IDC - BAU 2022.06 Release (June 2022)</t>
  </si>
  <si>
    <t>GRID IDC - BAU 2022.07 Release (July 2022)</t>
  </si>
  <si>
    <t>GRID IDC - BAU 2022.08 Release (August 2022)</t>
  </si>
  <si>
    <t>GRID IDC AllVue</t>
  </si>
  <si>
    <t>DOS Release On Demand</t>
  </si>
  <si>
    <t>DOS Databricks Optimization</t>
  </si>
  <si>
    <t>GRID ESG Star</t>
  </si>
  <si>
    <t>DOS ESG Star</t>
  </si>
  <si>
    <t>8- &gt;70</t>
  </si>
  <si>
    <t>Swapna Madhu</t>
  </si>
  <si>
    <t>2nd sprint</t>
  </si>
  <si>
    <t>6th sprint</t>
  </si>
  <si>
    <t>PROOF-Future State Data Project - Part 1</t>
  </si>
  <si>
    <t>PROOF-Future State Data Project - Part 2</t>
  </si>
  <si>
    <t>Business</t>
  </si>
  <si>
    <t>BCP</t>
  </si>
  <si>
    <t>GRID - IDC Data Project - Client Reporting</t>
  </si>
  <si>
    <t>Future State Data project</t>
  </si>
  <si>
    <t>GRID-Future State Data Project</t>
  </si>
  <si>
    <t>6 sprints</t>
  </si>
  <si>
    <t>GRID-Future State Data Project-1</t>
  </si>
  <si>
    <t>GRID-Future State Data Project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</si>
</sst>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1" x14ac:knownFonts="1">
    <font>
      <sz val="11"/>
      <color theme="1"/>
      <name val="Calibri"/>
      <family val="2"/>
      <scheme val="minor"/>
    </font>
    <font>
      <b/>
      <sz val="9"/>
      <color rgb="FFFFFFFF"/>
      <name val="Segoe UI"/>
      <family val="2"/>
    </font>
    <font>
      <sz val="9"/>
      <color theme="1"/>
      <name val="Segoe UI"/>
      <family val="2"/>
    </font>
    <font>
      <u/>
      <sz val="11"/>
      <color theme="10"/>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2"/>
      <name val="Calibri"/>
      <family val="2"/>
      <scheme val="minor"/>
    </font>
    <font>
      <i/>
      <sz val="16"/>
      <name val="Calibri"/>
      <family val="2"/>
      <scheme val="minor"/>
    </font>
    <font>
      <b/>
      <sz val="16"/>
      <color theme="0"/>
      <name val="Calibri"/>
      <family val="2"/>
      <scheme val="minor"/>
    </font>
    <font>
      <b/>
      <sz val="8"/>
      <color rgb="FFFFFFFF"/>
      <name val="Segoe UI"/>
      <family val="2"/>
    </font>
    <font>
      <sz val="9"/>
      <color theme="1"/>
      <name val="Calibri"/>
      <family val="2"/>
      <scheme val="minor"/>
    </font>
    <font>
      <sz val="9"/>
      <color theme="0"/>
      <name val="Calibri"/>
      <family val="2"/>
      <scheme val="minor"/>
    </font>
    <font>
      <b/>
      <sz val="9"/>
      <color rgb="FFC00000"/>
      <name val="Calibri"/>
      <family val="2"/>
      <scheme val="minor"/>
    </font>
    <font>
      <b/>
      <sz val="9"/>
      <color theme="1"/>
      <name val="Calibri"/>
      <family val="2"/>
      <scheme val="minor"/>
    </font>
    <font>
      <b/>
      <sz val="9"/>
      <color theme="7" tint="0.59999389629810485"/>
      <name val="Calibri"/>
      <family val="2"/>
      <scheme val="minor"/>
    </font>
    <font>
      <b/>
      <sz val="9"/>
      <color theme="0"/>
      <name val="Calibri"/>
      <family val="2"/>
      <scheme val="minor"/>
    </font>
    <font>
      <b/>
      <sz val="14"/>
      <name val="Calibri"/>
      <family val="2"/>
      <scheme val="minor"/>
    </font>
    <font>
      <sz val="10"/>
      <color theme="1"/>
      <name val="Calibri"/>
      <family val="2"/>
      <scheme val="minor"/>
    </font>
    <font>
      <sz val="11"/>
      <name val="Calibri"/>
      <family val="2"/>
      <scheme val="minor"/>
    </font>
    <font>
      <sz val="9"/>
      <name val="Segoe UI"/>
      <family val="2"/>
    </font>
    <font>
      <sz val="11"/>
      <color rgb="FF000000"/>
      <name val="Calibri"/>
      <family val="2"/>
    </font>
    <font>
      <b/>
      <sz val="11"/>
      <color rgb="FF000000"/>
      <name val="Calibri"/>
      <family val="2"/>
      <scheme val="minor"/>
    </font>
    <font>
      <sz val="11"/>
      <color rgb="FF006100"/>
      <name val="Calibri"/>
      <family val="2"/>
      <scheme val="minor"/>
    </font>
    <font>
      <sz val="11"/>
      <color rgb="FFFF0000"/>
      <name val="Calibri"/>
      <family val="2"/>
      <scheme val="minor"/>
    </font>
    <font>
      <b/>
      <sz val="11"/>
      <color rgb="FFFF0000"/>
      <name val="Calibri"/>
      <family val="2"/>
      <scheme val="minor"/>
    </font>
    <font>
      <b/>
      <sz val="12"/>
      <color theme="1"/>
      <name val="Calibri"/>
      <family val="2"/>
      <scheme val="minor"/>
    </font>
    <font>
      <b/>
      <sz val="10"/>
      <color theme="1"/>
      <name val="Calibri"/>
      <family val="2"/>
      <scheme val="minor"/>
    </font>
    <font>
      <b/>
      <sz val="11"/>
      <name val="Calibri"/>
      <family val="2"/>
      <scheme val="minor"/>
    </font>
    <font>
      <b/>
      <sz val="10"/>
      <color rgb="FFFF0000"/>
      <name val="Calibri"/>
      <family val="2"/>
      <scheme val="minor"/>
    </font>
    <font>
      <b/>
      <sz val="10"/>
      <name val="Calibri"/>
      <family val="2"/>
      <scheme val="minor"/>
    </font>
    <font>
      <sz val="8"/>
      <name val="Calibri"/>
      <family val="2"/>
      <scheme val="minor"/>
    </font>
    <font>
      <sz val="11"/>
      <color rgb="FF242424"/>
      <name val="Segoe UI"/>
      <family val="2"/>
    </font>
    <font>
      <sz val="11"/>
      <color rgb="FF9C0006"/>
      <name val="Calibri"/>
      <family val="2"/>
      <scheme val="minor"/>
    </font>
    <font>
      <b/>
      <sz val="9"/>
      <color rgb="FFFF0000"/>
      <name val="Calibri"/>
      <family val="2"/>
      <scheme val="minor"/>
    </font>
    <font>
      <sz val="9"/>
      <color rgb="FFFF0000"/>
      <name val="Segoe UI"/>
      <family val="2"/>
    </font>
    <font>
      <strike/>
      <sz val="11"/>
      <color theme="1"/>
      <name val="Calibri"/>
      <family val="2"/>
      <scheme val="minor"/>
    </font>
    <font>
      <strike/>
      <sz val="11"/>
      <name val="Calibri"/>
      <family val="2"/>
      <scheme val="minor"/>
    </font>
    <font>
      <strike/>
      <sz val="9"/>
      <name val="Segoe UI"/>
      <family val="2"/>
    </font>
    <font>
      <sz val="11"/>
      <color rgb="FF00B0F0"/>
      <name val="Calibri"/>
      <family val="2"/>
      <scheme val="minor"/>
    </font>
    <font>
      <sz val="9"/>
      <color rgb="FF00B0F0"/>
      <name val="Segoe UI"/>
      <family val="2"/>
    </font>
    <font>
      <i/>
      <sz val="11"/>
      <color rgb="FF00B0F0"/>
      <name val="Calibri"/>
      <family val="2"/>
      <scheme val="minor"/>
    </font>
    <font>
      <i/>
      <sz val="9"/>
      <color rgb="FF00B0F0"/>
      <name val="Segoe UI"/>
      <family val="2"/>
    </font>
    <font>
      <sz val="14"/>
      <color rgb="FF00B0F0"/>
      <name val="Segoe UI"/>
      <family val="2"/>
    </font>
    <font>
      <b/>
      <sz val="11"/>
      <color rgb="FF4472C4"/>
      <name val="Calibri"/>
      <family val="2"/>
      <scheme val="minor"/>
    </font>
    <font>
      <b/>
      <sz val="11"/>
      <color rgb="FF70AD47"/>
      <name val="Calibri"/>
      <family val="2"/>
      <scheme val="minor"/>
    </font>
    <font>
      <sz val="10"/>
      <color rgb="FFFF0000"/>
      <name val="Calibri"/>
      <family val="2"/>
      <scheme val="minor"/>
    </font>
    <font>
      <sz val="9"/>
      <name val="Segoe UI"/>
    </font>
    <font>
      <i/>
      <sz val="11"/>
      <color theme="1"/>
      <name val="Calibri"/>
      <family val="2"/>
      <scheme val="minor"/>
    </font>
    <font>
      <sz val="9"/>
      <color rgb="FF00B0F0"/>
      <name val="Segoe UI"/>
    </font>
  </fonts>
  <fills count="44">
    <fill>
      <patternFill patternType="none"/>
    </fill>
    <fill>
      <patternFill patternType="gray125"/>
    </fill>
    <fill>
      <patternFill patternType="solid">
        <fgColor rgb="FF004578"/>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
      <patternFill patternType="solid">
        <fgColor theme="4"/>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0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rgb="FF00B0F0"/>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D9E1F2"/>
        <bgColor rgb="FFD9E1F2"/>
      </patternFill>
    </fill>
    <fill>
      <patternFill patternType="solid">
        <fgColor rgb="FF9BC2E6"/>
        <bgColor indexed="64"/>
      </patternFill>
    </fill>
    <fill>
      <patternFill patternType="solid">
        <fgColor rgb="FFC6EFCE"/>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CCCF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FFC7CE"/>
      </patternFill>
    </fill>
    <fill>
      <patternFill patternType="solid">
        <fgColor theme="8"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FFCC"/>
        <bgColor indexed="64"/>
      </patternFill>
    </fill>
    <fill>
      <patternFill patternType="solid">
        <fgColor rgb="FFFCE4D6"/>
        <bgColor indexed="64"/>
      </patternFill>
    </fill>
    <fill>
      <patternFill patternType="solid">
        <fgColor rgb="FFDDEBF7"/>
        <bgColor indexed="64"/>
      </patternFill>
    </fill>
    <fill>
      <patternFill patternType="solid">
        <fgColor rgb="FF92D050"/>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rgb="FF000000"/>
      </bottom>
      <diagonal/>
    </border>
    <border>
      <left style="thin">
        <color indexed="64"/>
      </left>
      <right style="thin">
        <color indexed="64"/>
      </right>
      <top style="thin">
        <color indexed="64"/>
      </top>
      <bottom style="thin">
        <color rgb="FF000000"/>
      </bottom>
      <diagonal/>
    </border>
    <border>
      <left/>
      <right/>
      <top/>
      <bottom style="thin">
        <color theme="4" tint="0.39997558519241921"/>
      </bottom>
      <diagonal/>
    </border>
    <border>
      <left/>
      <right style="thin">
        <color indexed="64"/>
      </right>
      <top style="medium">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bottom/>
      <diagonal/>
    </border>
    <border>
      <left/>
      <right style="medium">
        <color rgb="FF000000"/>
      </right>
      <top/>
      <bottom/>
      <diagonal/>
    </border>
    <border>
      <left style="medium">
        <color rgb="FF000000"/>
      </left>
      <right style="thin">
        <color indexed="64"/>
      </right>
      <top/>
      <bottom style="medium">
        <color rgb="FF000000"/>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0" fontId="3" fillId="0" borderId="0" applyNumberFormat="0" applyFill="0" applyBorder="0" applyAlignment="0" applyProtection="0"/>
    <xf numFmtId="9" fontId="4" fillId="0" borderId="0" applyFont="0" applyFill="0" applyBorder="0" applyAlignment="0" applyProtection="0"/>
    <xf numFmtId="0" fontId="24" fillId="25" borderId="0" applyNumberFormat="0" applyBorder="0" applyAlignment="0" applyProtection="0"/>
    <xf numFmtId="0" fontId="34" fillId="35" borderId="0" applyNumberFormat="0" applyBorder="0" applyAlignment="0" applyProtection="0"/>
  </cellStyleXfs>
  <cellXfs count="542">
    <xf numFmtId="0" fontId="0" fillId="0" borderId="0" xfId="0"/>
    <xf numFmtId="0" fontId="2" fillId="3" borderId="0" xfId="0" applyFont="1" applyFill="1" applyAlignment="1">
      <alignment vertical="center" wrapText="1"/>
    </xf>
    <xf numFmtId="0" fontId="3" fillId="3" borderId="0" xfId="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xf numFmtId="0" fontId="12" fillId="0" borderId="0" xfId="0" applyFont="1"/>
    <xf numFmtId="0" fontId="0" fillId="0" borderId="0" xfId="0" applyAlignment="1">
      <alignment horizontal="center"/>
    </xf>
    <xf numFmtId="14" fontId="0" fillId="0" borderId="0" xfId="0" applyNumberFormat="1" applyAlignment="1">
      <alignment horizontal="left"/>
    </xf>
    <xf numFmtId="0" fontId="13" fillId="6" borderId="3" xfId="0" applyFont="1" applyFill="1" applyBorder="1" applyAlignment="1">
      <alignment horizontal="center"/>
    </xf>
    <xf numFmtId="0" fontId="13" fillId="6" borderId="4" xfId="0" applyFont="1" applyFill="1" applyBorder="1" applyAlignment="1">
      <alignment horizontal="center"/>
    </xf>
    <xf numFmtId="0" fontId="13" fillId="6" borderId="5" xfId="0" applyFont="1" applyFill="1" applyBorder="1" applyAlignment="1">
      <alignment horizontal="center"/>
    </xf>
    <xf numFmtId="1" fontId="12" fillId="0" borderId="1" xfId="0" applyNumberFormat="1" applyFont="1" applyBorder="1" applyAlignment="1">
      <alignment horizontal="center"/>
    </xf>
    <xf numFmtId="0" fontId="13" fillId="6" borderId="1" xfId="0" applyFont="1" applyFill="1" applyBorder="1" applyAlignment="1">
      <alignment horizontal="center"/>
    </xf>
    <xf numFmtId="0" fontId="12" fillId="0" borderId="1" xfId="0" applyFont="1" applyBorder="1"/>
    <xf numFmtId="0" fontId="12" fillId="0" borderId="0" xfId="0" applyFont="1" applyAlignment="1">
      <alignment horizontal="center" vertical="center"/>
    </xf>
    <xf numFmtId="1" fontId="12" fillId="0" borderId="0" xfId="0" applyNumberFormat="1" applyFont="1" applyAlignment="1">
      <alignment horizontal="center" vertical="center"/>
    </xf>
    <xf numFmtId="1" fontId="12" fillId="0" borderId="0" xfId="0" applyNumberFormat="1" applyFont="1"/>
    <xf numFmtId="0" fontId="12" fillId="0" borderId="1" xfId="0" applyFont="1" applyBorder="1" applyAlignment="1">
      <alignment horizontal="center" vertical="center"/>
    </xf>
    <xf numFmtId="1"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13" fillId="6" borderId="3" xfId="0" applyFont="1" applyFill="1" applyBorder="1" applyAlignment="1">
      <alignment horizontal="center" vertical="center"/>
    </xf>
    <xf numFmtId="0" fontId="13" fillId="6" borderId="5" xfId="0" applyFont="1" applyFill="1" applyBorder="1" applyAlignment="1">
      <alignment horizontal="center" vertical="center"/>
    </xf>
    <xf numFmtId="0" fontId="12" fillId="0" borderId="9" xfId="0" applyFont="1" applyBorder="1" applyAlignment="1">
      <alignment horizontal="center" vertical="center"/>
    </xf>
    <xf numFmtId="1" fontId="12" fillId="0" borderId="10" xfId="0" applyNumberFormat="1" applyFont="1" applyBorder="1" applyAlignment="1">
      <alignment horizontal="center" vertical="center"/>
    </xf>
    <xf numFmtId="1" fontId="12" fillId="0" borderId="9" xfId="0" applyNumberFormat="1" applyFont="1" applyBorder="1" applyAlignment="1">
      <alignment horizontal="center" vertical="center"/>
    </xf>
    <xf numFmtId="0" fontId="0" fillId="0" borderId="10" xfId="0" applyBorder="1" applyAlignment="1">
      <alignment horizontal="center" vertical="center"/>
    </xf>
    <xf numFmtId="2" fontId="12" fillId="0" borderId="10" xfId="0" applyNumberFormat="1" applyFont="1" applyBorder="1" applyAlignment="1">
      <alignment horizontal="center" vertical="center"/>
    </xf>
    <xf numFmtId="0" fontId="6" fillId="6" borderId="11" xfId="0" applyFont="1" applyFill="1" applyBorder="1" applyAlignment="1">
      <alignment horizontal="center" vertical="top"/>
    </xf>
    <xf numFmtId="1" fontId="6" fillId="6" borderId="11" xfId="0" applyNumberFormat="1" applyFont="1" applyFill="1" applyBorder="1" applyAlignment="1">
      <alignment horizontal="center" vertical="top"/>
    </xf>
    <xf numFmtId="1" fontId="6" fillId="6" borderId="7" xfId="0" applyNumberFormat="1" applyFont="1" applyFill="1" applyBorder="1" applyAlignment="1">
      <alignment horizontal="center" vertical="top"/>
    </xf>
    <xf numFmtId="1" fontId="6" fillId="6" borderId="15" xfId="0" applyNumberFormat="1" applyFont="1" applyFill="1" applyBorder="1" applyAlignment="1">
      <alignment horizontal="center" vertical="top"/>
    </xf>
    <xf numFmtId="1" fontId="0" fillId="0" borderId="0" xfId="0" applyNumberFormat="1" applyAlignment="1">
      <alignment horizontal="center"/>
    </xf>
    <xf numFmtId="0" fontId="13" fillId="6" borderId="9" xfId="0" applyFont="1" applyFill="1" applyBorder="1" applyAlignment="1">
      <alignment horizontal="center" vertical="center"/>
    </xf>
    <xf numFmtId="0" fontId="13" fillId="6" borderId="10" xfId="0" applyFont="1" applyFill="1" applyBorder="1" applyAlignment="1">
      <alignment horizontal="center"/>
    </xf>
    <xf numFmtId="0" fontId="12" fillId="0" borderId="6" xfId="0" applyFont="1" applyBorder="1"/>
    <xf numFmtId="0" fontId="12" fillId="0" borderId="11" xfId="0" applyFont="1" applyBorder="1" applyAlignment="1">
      <alignment horizontal="center" vertical="center"/>
    </xf>
    <xf numFmtId="2" fontId="12" fillId="0" borderId="6" xfId="0" applyNumberFormat="1" applyFont="1" applyBorder="1" applyAlignment="1">
      <alignment horizontal="center" vertical="center"/>
    </xf>
    <xf numFmtId="0" fontId="14" fillId="7" borderId="1" xfId="0" applyFont="1" applyFill="1" applyBorder="1" applyAlignment="1">
      <alignment horizontal="center" vertical="center"/>
    </xf>
    <xf numFmtId="0" fontId="15" fillId="8" borderId="1" xfId="0" applyFont="1" applyFill="1" applyBorder="1" applyAlignment="1">
      <alignment horizontal="center" vertical="center"/>
    </xf>
    <xf numFmtId="0" fontId="16" fillId="9" borderId="1" xfId="0" applyFont="1" applyFill="1" applyBorder="1" applyAlignment="1">
      <alignment horizontal="center" vertical="center"/>
    </xf>
    <xf numFmtId="0" fontId="17" fillId="6" borderId="1" xfId="0" applyFont="1" applyFill="1" applyBorder="1" applyAlignment="1">
      <alignment horizontal="center" vertical="center"/>
    </xf>
    <xf numFmtId="0" fontId="15" fillId="10" borderId="1" xfId="0" applyFont="1" applyFill="1" applyBorder="1" applyAlignment="1">
      <alignment horizontal="center" vertical="center"/>
    </xf>
    <xf numFmtId="9" fontId="12" fillId="0" borderId="10" xfId="2" applyFont="1" applyBorder="1" applyAlignment="1">
      <alignment horizontal="center" vertical="center"/>
    </xf>
    <xf numFmtId="1" fontId="6" fillId="6" borderId="6" xfId="0" applyNumberFormat="1" applyFont="1" applyFill="1" applyBorder="1" applyAlignment="1">
      <alignment horizontal="center" vertical="center"/>
    </xf>
    <xf numFmtId="9" fontId="6" fillId="6" borderId="7" xfId="2" applyFont="1" applyFill="1" applyBorder="1" applyAlignment="1">
      <alignment horizontal="center" vertical="center"/>
    </xf>
    <xf numFmtId="0" fontId="12" fillId="0" borderId="1" xfId="0" applyFont="1" applyBorder="1" applyAlignment="1">
      <alignment horizontal="center" vertical="center" wrapText="1"/>
    </xf>
    <xf numFmtId="0" fontId="15" fillId="10" borderId="6" xfId="0" applyFont="1" applyFill="1" applyBorder="1" applyAlignment="1">
      <alignment horizontal="center" vertical="center"/>
    </xf>
    <xf numFmtId="0" fontId="19" fillId="14" borderId="1" xfId="0" applyFont="1" applyFill="1" applyBorder="1" applyAlignment="1">
      <alignment horizontal="center"/>
    </xf>
    <xf numFmtId="0" fontId="19" fillId="0" borderId="1" xfId="0" applyFont="1" applyBorder="1" applyAlignment="1">
      <alignment horizontal="left"/>
    </xf>
    <xf numFmtId="14" fontId="0" fillId="0" borderId="0" xfId="0" applyNumberFormat="1"/>
    <xf numFmtId="0" fontId="13" fillId="6" borderId="21" xfId="0" applyFont="1" applyFill="1" applyBorder="1" applyAlignment="1">
      <alignment horizontal="center" vertical="center"/>
    </xf>
    <xf numFmtId="0" fontId="0" fillId="0" borderId="14" xfId="0" applyBorder="1" applyAlignment="1">
      <alignment horizontal="center" vertical="center"/>
    </xf>
    <xf numFmtId="1" fontId="6" fillId="6" borderId="2" xfId="0" applyNumberFormat="1" applyFont="1" applyFill="1" applyBorder="1" applyAlignment="1">
      <alignment horizontal="center" vertical="top"/>
    </xf>
    <xf numFmtId="22" fontId="0" fillId="0" borderId="0" xfId="0" applyNumberFormat="1"/>
    <xf numFmtId="14" fontId="1" fillId="2" borderId="1" xfId="0" applyNumberFormat="1" applyFont="1" applyFill="1" applyBorder="1" applyAlignment="1">
      <alignment horizontal="center" vertical="center" wrapText="1"/>
    </xf>
    <xf numFmtId="1" fontId="0" fillId="0" borderId="0" xfId="0" applyNumberFormat="1"/>
    <xf numFmtId="0" fontId="0" fillId="15" borderId="0" xfId="0" applyFill="1"/>
    <xf numFmtId="0" fontId="20" fillId="0" borderId="1" xfId="0" applyFont="1" applyBorder="1"/>
    <xf numFmtId="0" fontId="0" fillId="0" borderId="0" xfId="0" applyAlignment="1">
      <alignment wrapText="1"/>
    </xf>
    <xf numFmtId="0" fontId="0" fillId="0" borderId="1" xfId="0" applyBorder="1" applyAlignment="1">
      <alignment wrapText="1"/>
    </xf>
    <xf numFmtId="0" fontId="20" fillId="16" borderId="1" xfId="0" applyFont="1" applyFill="1" applyBorder="1"/>
    <xf numFmtId="0" fontId="5" fillId="8" borderId="1" xfId="0" applyFont="1" applyFill="1" applyBorder="1"/>
    <xf numFmtId="14" fontId="0" fillId="0" borderId="1" xfId="0" applyNumberFormat="1" applyBorder="1"/>
    <xf numFmtId="0" fontId="0" fillId="0" borderId="1" xfId="0" pivotButton="1" applyBorder="1"/>
    <xf numFmtId="0" fontId="0" fillId="0" borderId="1" xfId="0" applyBorder="1" applyAlignment="1">
      <alignment horizontal="left"/>
    </xf>
    <xf numFmtId="0" fontId="5" fillId="17" borderId="1" xfId="0" applyFont="1" applyFill="1" applyBorder="1"/>
    <xf numFmtId="0" fontId="21" fillId="16" borderId="1" xfId="0" applyFont="1" applyFill="1" applyBorder="1" applyAlignment="1">
      <alignment horizontal="center" vertical="center" wrapText="1"/>
    </xf>
    <xf numFmtId="1" fontId="20" fillId="16" borderId="1" xfId="0" applyNumberFormat="1" applyFont="1" applyFill="1" applyBorder="1"/>
    <xf numFmtId="0" fontId="5" fillId="0" borderId="1" xfId="0" applyFont="1" applyBorder="1"/>
    <xf numFmtId="0" fontId="5" fillId="0" borderId="0" xfId="0" applyFont="1" applyAlignment="1">
      <alignment horizontal="right"/>
    </xf>
    <xf numFmtId="0" fontId="5" fillId="0" borderId="0" xfId="0" applyFont="1"/>
    <xf numFmtId="0" fontId="2" fillId="11" borderId="24" xfId="0" applyFont="1" applyFill="1" applyBorder="1" applyAlignment="1">
      <alignment horizontal="right" vertical="center" wrapText="1"/>
    </xf>
    <xf numFmtId="0" fontId="2" fillId="11" borderId="25" xfId="0" applyFont="1" applyFill="1" applyBorder="1" applyAlignment="1">
      <alignment horizontal="right" vertical="center" wrapText="1"/>
    </xf>
    <xf numFmtId="0" fontId="2" fillId="11" borderId="14" xfId="0" applyFont="1" applyFill="1" applyBorder="1" applyAlignment="1">
      <alignment horizontal="right" vertical="center" wrapText="1"/>
    </xf>
    <xf numFmtId="0" fontId="2" fillId="11" borderId="8" xfId="0" applyFont="1" applyFill="1" applyBorder="1" applyAlignment="1">
      <alignment horizontal="right" vertical="center" wrapText="1"/>
    </xf>
    <xf numFmtId="0" fontId="2" fillId="11" borderId="2" xfId="0" applyFont="1" applyFill="1" applyBorder="1" applyAlignment="1">
      <alignment horizontal="right" vertical="center" wrapText="1"/>
    </xf>
    <xf numFmtId="0" fontId="2" fillId="11" borderId="16" xfId="0" applyFont="1" applyFill="1" applyBorder="1" applyAlignment="1">
      <alignment horizontal="right" vertical="center" wrapText="1"/>
    </xf>
    <xf numFmtId="0" fontId="0" fillId="0" borderId="0" xfId="0" pivotButton="1"/>
    <xf numFmtId="0" fontId="0" fillId="0" borderId="0" xfId="0" applyAlignment="1">
      <alignment horizontal="left"/>
    </xf>
    <xf numFmtId="0" fontId="8" fillId="12" borderId="1" xfId="0" applyFont="1" applyFill="1" applyBorder="1" applyAlignment="1">
      <alignment horizontal="center" vertical="center"/>
    </xf>
    <xf numFmtId="0" fontId="9" fillId="4" borderId="1" xfId="0" applyFont="1" applyFill="1" applyBorder="1" applyAlignment="1">
      <alignment horizontal="center" vertical="center"/>
    </xf>
    <xf numFmtId="1" fontId="2" fillId="3" borderId="0" xfId="0" applyNumberFormat="1" applyFont="1" applyFill="1" applyAlignment="1">
      <alignment horizontal="center" vertical="center" wrapText="1"/>
    </xf>
    <xf numFmtId="1" fontId="7" fillId="0" borderId="2" xfId="2" applyNumberFormat="1" applyFont="1" applyBorder="1" applyAlignment="1">
      <alignment horizontal="center" vertical="center"/>
    </xf>
    <xf numFmtId="1" fontId="2" fillId="3" borderId="26" xfId="0" applyNumberFormat="1" applyFont="1" applyFill="1" applyBorder="1" applyAlignment="1">
      <alignment horizontal="center" vertical="center" wrapText="1"/>
    </xf>
    <xf numFmtId="0" fontId="17" fillId="19" borderId="1" xfId="0" applyFont="1" applyFill="1" applyBorder="1" applyAlignment="1">
      <alignment horizontal="center" vertical="center"/>
    </xf>
    <xf numFmtId="0" fontId="17" fillId="20" borderId="1" xfId="0" applyFont="1" applyFill="1" applyBorder="1" applyAlignment="1">
      <alignment horizontal="center" vertical="center"/>
    </xf>
    <xf numFmtId="0" fontId="0" fillId="0" borderId="22" xfId="0" applyBorder="1"/>
    <xf numFmtId="14" fontId="0" fillId="0" borderId="22" xfId="0" applyNumberFormat="1" applyBorder="1"/>
    <xf numFmtId="0" fontId="5" fillId="21" borderId="1" xfId="0" applyFont="1" applyFill="1" applyBorder="1" applyAlignment="1">
      <alignment horizontal="center"/>
    </xf>
    <xf numFmtId="0" fontId="12" fillId="0" borderId="1" xfId="0" applyFont="1" applyBorder="1" applyAlignment="1">
      <alignment wrapText="1"/>
    </xf>
    <xf numFmtId="0" fontId="22" fillId="0" borderId="23" xfId="0" applyFont="1" applyBorder="1" applyAlignment="1">
      <alignment vertical="center" wrapText="1"/>
    </xf>
    <xf numFmtId="0" fontId="5" fillId="17" borderId="0" xfId="0" applyFont="1" applyFill="1"/>
    <xf numFmtId="0" fontId="2" fillId="11" borderId="29" xfId="0" applyFont="1" applyFill="1" applyBorder="1" applyAlignment="1">
      <alignment horizontal="right" vertical="center" wrapText="1"/>
    </xf>
    <xf numFmtId="0" fontId="2" fillId="11" borderId="26" xfId="0" applyFont="1" applyFill="1" applyBorder="1" applyAlignment="1">
      <alignment horizontal="right" vertical="center" wrapText="1"/>
    </xf>
    <xf numFmtId="0" fontId="2" fillId="11" borderId="30" xfId="0" applyFont="1" applyFill="1" applyBorder="1" applyAlignment="1">
      <alignment horizontal="right" vertical="center" wrapText="1"/>
    </xf>
    <xf numFmtId="0" fontId="2" fillId="3" borderId="26" xfId="0" applyFont="1" applyFill="1" applyBorder="1" applyAlignment="1">
      <alignment horizontal="center" vertical="center" wrapText="1"/>
    </xf>
    <xf numFmtId="0" fontId="2" fillId="3" borderId="28" xfId="0" applyFont="1" applyFill="1" applyBorder="1" applyAlignment="1">
      <alignment horizontal="center" vertical="center" wrapText="1"/>
    </xf>
    <xf numFmtId="14" fontId="0" fillId="11" borderId="28" xfId="0" applyNumberFormat="1" applyFill="1" applyBorder="1"/>
    <xf numFmtId="0" fontId="1" fillId="2" borderId="22" xfId="0" applyFont="1" applyFill="1" applyBorder="1" applyAlignment="1">
      <alignment horizontal="center" vertical="center" wrapText="1"/>
    </xf>
    <xf numFmtId="0" fontId="11" fillId="2" borderId="22" xfId="0" applyFont="1" applyFill="1" applyBorder="1" applyAlignment="1">
      <alignment horizontal="center" vertical="center" wrapText="1"/>
    </xf>
    <xf numFmtId="14" fontId="1" fillId="2" borderId="22" xfId="0" applyNumberFormat="1" applyFont="1" applyFill="1" applyBorder="1" applyAlignment="1">
      <alignment horizontal="center" vertical="center" wrapText="1"/>
    </xf>
    <xf numFmtId="0" fontId="0" fillId="0" borderId="32" xfId="0" applyBorder="1"/>
    <xf numFmtId="0" fontId="0" fillId="0" borderId="31" xfId="0" applyBorder="1"/>
    <xf numFmtId="0" fontId="0" fillId="22" borderId="1" xfId="0" applyFill="1" applyBorder="1"/>
    <xf numFmtId="0" fontId="0" fillId="22" borderId="0" xfId="0" applyFill="1"/>
    <xf numFmtId="0" fontId="5" fillId="17" borderId="33" xfId="0" applyFont="1" applyFill="1" applyBorder="1"/>
    <xf numFmtId="0" fontId="23" fillId="23" borderId="1" xfId="0" applyFont="1" applyFill="1" applyBorder="1"/>
    <xf numFmtId="0" fontId="23" fillId="23" borderId="1" xfId="0" applyFont="1" applyFill="1" applyBorder="1" applyAlignment="1">
      <alignment wrapText="1"/>
    </xf>
    <xf numFmtId="0" fontId="0" fillId="24" borderId="0" xfId="0" applyFill="1"/>
    <xf numFmtId="0" fontId="0" fillId="0" borderId="28" xfId="0" applyBorder="1" applyAlignment="1">
      <alignment horizontal="center" vertical="center"/>
    </xf>
    <xf numFmtId="0" fontId="0" fillId="11" borderId="26" xfId="0" applyFill="1" applyBorder="1"/>
    <xf numFmtId="0" fontId="0" fillId="0" borderId="28" xfId="0" applyBorder="1"/>
    <xf numFmtId="0" fontId="20" fillId="16" borderId="28" xfId="0" applyFont="1" applyFill="1" applyBorder="1"/>
    <xf numFmtId="0" fontId="5" fillId="5" borderId="1" xfId="0" applyFont="1" applyFill="1" applyBorder="1" applyAlignment="1">
      <alignment wrapText="1"/>
    </xf>
    <xf numFmtId="0" fontId="5" fillId="5" borderId="1" xfId="0" applyFont="1" applyFill="1" applyBorder="1"/>
    <xf numFmtId="0" fontId="0" fillId="26" borderId="0" xfId="0" applyFill="1"/>
    <xf numFmtId="0" fontId="5" fillId="27" borderId="1" xfId="0" applyFont="1" applyFill="1" applyBorder="1"/>
    <xf numFmtId="0" fontId="5" fillId="15" borderId="1" xfId="0" applyFont="1" applyFill="1" applyBorder="1"/>
    <xf numFmtId="0" fontId="26" fillId="0" borderId="0" xfId="0" applyFont="1" applyAlignment="1">
      <alignment wrapText="1"/>
    </xf>
    <xf numFmtId="1" fontId="5" fillId="0" borderId="0" xfId="0" applyNumberFormat="1" applyFont="1" applyAlignment="1">
      <alignment horizontal="center"/>
    </xf>
    <xf numFmtId="0" fontId="0" fillId="28" borderId="1" xfId="0" applyFill="1" applyBorder="1"/>
    <xf numFmtId="16" fontId="0" fillId="28" borderId="1" xfId="0" applyNumberFormat="1" applyFill="1" applyBorder="1"/>
    <xf numFmtId="0" fontId="20" fillId="0" borderId="1" xfId="0" quotePrefix="1" applyFont="1" applyBorder="1"/>
    <xf numFmtId="1" fontId="5" fillId="29" borderId="0" xfId="0" applyNumberFormat="1" applyFont="1" applyFill="1" applyAlignment="1">
      <alignment horizontal="center"/>
    </xf>
    <xf numFmtId="0" fontId="0" fillId="28" borderId="22" xfId="0" applyFill="1" applyBorder="1"/>
    <xf numFmtId="16" fontId="0" fillId="28" borderId="22" xfId="0" applyNumberFormat="1" applyFill="1" applyBorder="1"/>
    <xf numFmtId="1" fontId="5" fillId="4" borderId="0" xfId="0" applyNumberFormat="1" applyFont="1" applyFill="1" applyAlignment="1">
      <alignment horizontal="center"/>
    </xf>
    <xf numFmtId="1" fontId="5" fillId="30" borderId="22" xfId="0" applyNumberFormat="1" applyFont="1" applyFill="1" applyBorder="1" applyAlignment="1">
      <alignment horizontal="center"/>
    </xf>
    <xf numFmtId="0" fontId="0" fillId="30" borderId="4" xfId="0" applyFill="1" applyBorder="1"/>
    <xf numFmtId="16" fontId="5" fillId="30" borderId="4" xfId="0" applyNumberFormat="1" applyFont="1" applyFill="1" applyBorder="1"/>
    <xf numFmtId="16" fontId="0" fillId="30" borderId="5" xfId="0" applyNumberFormat="1" applyFill="1" applyBorder="1"/>
    <xf numFmtId="0" fontId="0" fillId="4" borderId="0" xfId="0" applyFill="1"/>
    <xf numFmtId="0" fontId="0" fillId="31" borderId="1" xfId="0" applyFill="1" applyBorder="1"/>
    <xf numFmtId="16" fontId="0" fillId="31" borderId="1" xfId="0" applyNumberFormat="1" applyFill="1" applyBorder="1"/>
    <xf numFmtId="16" fontId="0" fillId="31" borderId="10" xfId="0" applyNumberFormat="1" applyFill="1" applyBorder="1"/>
    <xf numFmtId="0" fontId="0" fillId="11" borderId="1" xfId="0" applyFill="1" applyBorder="1"/>
    <xf numFmtId="16" fontId="0" fillId="11" borderId="1" xfId="0" applyNumberFormat="1" applyFill="1" applyBorder="1"/>
    <xf numFmtId="16" fontId="0" fillId="11" borderId="10" xfId="0" applyNumberFormat="1" applyFill="1" applyBorder="1"/>
    <xf numFmtId="17" fontId="20" fillId="0" borderId="1" xfId="0" quotePrefix="1" applyNumberFormat="1" applyFont="1" applyBorder="1" applyAlignment="1">
      <alignment wrapText="1"/>
    </xf>
    <xf numFmtId="0" fontId="0" fillId="32" borderId="1" xfId="0" applyFill="1" applyBorder="1"/>
    <xf numFmtId="16" fontId="0" fillId="32" borderId="1" xfId="0" applyNumberFormat="1" applyFill="1" applyBorder="1"/>
    <xf numFmtId="16" fontId="0" fillId="32" borderId="10" xfId="0" applyNumberFormat="1" applyFill="1" applyBorder="1"/>
    <xf numFmtId="0" fontId="0" fillId="15" borderId="1" xfId="0" applyFill="1" applyBorder="1"/>
    <xf numFmtId="16" fontId="0" fillId="15" borderId="1" xfId="0" applyNumberFormat="1" applyFill="1" applyBorder="1"/>
    <xf numFmtId="16" fontId="0" fillId="15" borderId="10" xfId="0" applyNumberFormat="1" applyFill="1" applyBorder="1"/>
    <xf numFmtId="0" fontId="0" fillId="33" borderId="1" xfId="0" applyFill="1" applyBorder="1"/>
    <xf numFmtId="16" fontId="0" fillId="33" borderId="1" xfId="0" applyNumberFormat="1" applyFill="1" applyBorder="1"/>
    <xf numFmtId="16" fontId="5" fillId="33" borderId="10" xfId="0" applyNumberFormat="1" applyFont="1" applyFill="1" applyBorder="1"/>
    <xf numFmtId="0" fontId="0" fillId="34" borderId="1" xfId="0" applyFill="1" applyBorder="1"/>
    <xf numFmtId="16" fontId="0" fillId="34" borderId="1" xfId="0" applyNumberFormat="1" applyFill="1" applyBorder="1"/>
    <xf numFmtId="0" fontId="0" fillId="34" borderId="22" xfId="0" applyFill="1" applyBorder="1"/>
    <xf numFmtId="16" fontId="0" fillId="34" borderId="22" xfId="0" applyNumberFormat="1" applyFill="1" applyBorder="1"/>
    <xf numFmtId="1" fontId="5" fillId="15" borderId="22" xfId="0" applyNumberFormat="1" applyFont="1" applyFill="1" applyBorder="1" applyAlignment="1">
      <alignment horizontal="center"/>
    </xf>
    <xf numFmtId="0" fontId="0" fillId="12" borderId="4" xfId="0" applyFill="1" applyBorder="1"/>
    <xf numFmtId="1" fontId="31" fillId="15" borderId="28" xfId="0" applyNumberFormat="1" applyFont="1" applyFill="1" applyBorder="1" applyAlignment="1">
      <alignment horizontal="center"/>
    </xf>
    <xf numFmtId="1" fontId="5" fillId="32" borderId="22" xfId="0" applyNumberFormat="1" applyFont="1" applyFill="1" applyBorder="1" applyAlignment="1">
      <alignment horizontal="center"/>
    </xf>
    <xf numFmtId="1" fontId="5" fillId="33" borderId="22" xfId="0" applyNumberFormat="1" applyFont="1" applyFill="1" applyBorder="1" applyAlignment="1">
      <alignment horizontal="center"/>
    </xf>
    <xf numFmtId="1" fontId="28" fillId="32" borderId="28" xfId="0" applyNumberFormat="1" applyFont="1" applyFill="1" applyBorder="1" applyAlignment="1">
      <alignment horizontal="center"/>
    </xf>
    <xf numFmtId="1" fontId="31" fillId="33" borderId="28" xfId="0" applyNumberFormat="1" applyFont="1" applyFill="1" applyBorder="1" applyAlignment="1">
      <alignment horizontal="center"/>
    </xf>
    <xf numFmtId="14" fontId="20" fillId="0" borderId="36" xfId="0" quotePrefix="1" applyNumberFormat="1" applyFont="1" applyBorder="1"/>
    <xf numFmtId="14" fontId="20" fillId="0" borderId="37" xfId="0" quotePrefix="1" applyNumberFormat="1" applyFont="1" applyBorder="1"/>
    <xf numFmtId="0" fontId="5" fillId="0" borderId="38" xfId="0" applyFont="1" applyBorder="1"/>
    <xf numFmtId="1" fontId="29" fillId="15" borderId="22" xfId="0" applyNumberFormat="1" applyFont="1" applyFill="1" applyBorder="1" applyAlignment="1">
      <alignment horizontal="center"/>
    </xf>
    <xf numFmtId="1" fontId="5" fillId="34" borderId="22" xfId="0" applyNumberFormat="1" applyFont="1" applyFill="1" applyBorder="1" applyAlignment="1">
      <alignment horizontal="center"/>
    </xf>
    <xf numFmtId="0" fontId="0" fillId="0" borderId="39" xfId="0" applyBorder="1"/>
    <xf numFmtId="0" fontId="0" fillId="0" borderId="9" xfId="0" applyBorder="1" applyAlignment="1">
      <alignment horizontal="left"/>
    </xf>
    <xf numFmtId="0" fontId="0" fillId="0" borderId="10" xfId="0" applyBorder="1" applyAlignment="1">
      <alignment horizontal="left"/>
    </xf>
    <xf numFmtId="1" fontId="31" fillId="34" borderId="28" xfId="0" applyNumberFormat="1" applyFont="1" applyFill="1" applyBorder="1" applyAlignment="1">
      <alignment horizontal="center"/>
    </xf>
    <xf numFmtId="0" fontId="0" fillId="0" borderId="40" xfId="0" applyBorder="1"/>
    <xf numFmtId="0" fontId="22" fillId="0" borderId="27" xfId="0" applyFont="1" applyBorder="1" applyAlignment="1">
      <alignment vertical="center"/>
    </xf>
    <xf numFmtId="15" fontId="22" fillId="0" borderId="42" xfId="0" applyNumberFormat="1" applyFont="1" applyBorder="1" applyAlignment="1">
      <alignment vertical="center" wrapText="1"/>
    </xf>
    <xf numFmtId="15" fontId="22" fillId="0" borderId="23" xfId="0" applyNumberFormat="1" applyFont="1" applyBorder="1" applyAlignment="1">
      <alignment vertical="center" wrapText="1"/>
    </xf>
    <xf numFmtId="16" fontId="22" fillId="0" borderId="23" xfId="0" applyNumberFormat="1" applyFont="1" applyBorder="1" applyAlignment="1">
      <alignment vertical="center" wrapText="1"/>
    </xf>
    <xf numFmtId="0" fontId="0" fillId="0" borderId="45" xfId="0" applyBorder="1"/>
    <xf numFmtId="0" fontId="0" fillId="0" borderId="10" xfId="0" applyBorder="1"/>
    <xf numFmtId="0" fontId="0" fillId="0" borderId="46" xfId="0" applyBorder="1"/>
    <xf numFmtId="0" fontId="0" fillId="0" borderId="4" xfId="0" applyBorder="1"/>
    <xf numFmtId="0" fontId="0" fillId="0" borderId="5" xfId="0" applyBorder="1"/>
    <xf numFmtId="0" fontId="0" fillId="0" borderId="12" xfId="0" applyBorder="1"/>
    <xf numFmtId="0" fontId="0" fillId="0" borderId="44" xfId="0" applyBorder="1"/>
    <xf numFmtId="0" fontId="0" fillId="0" borderId="42" xfId="0" applyBorder="1"/>
    <xf numFmtId="0" fontId="0" fillId="0" borderId="6" xfId="0" applyBorder="1"/>
    <xf numFmtId="0" fontId="0" fillId="0" borderId="7" xfId="0" applyBorder="1"/>
    <xf numFmtId="0" fontId="0" fillId="0" borderId="50" xfId="0" applyBorder="1"/>
    <xf numFmtId="0" fontId="0" fillId="0" borderId="23" xfId="0" applyBorder="1"/>
    <xf numFmtId="0" fontId="20" fillId="0" borderId="1" xfId="3" applyFont="1" applyFill="1" applyBorder="1"/>
    <xf numFmtId="0" fontId="0" fillId="0" borderId="35" xfId="0" applyBorder="1"/>
    <xf numFmtId="0" fontId="6" fillId="6" borderId="51" xfId="0" applyFont="1" applyFill="1" applyBorder="1" applyAlignment="1">
      <alignment horizontal="center" vertical="center"/>
    </xf>
    <xf numFmtId="1" fontId="6" fillId="6" borderId="22" xfId="0" applyNumberFormat="1" applyFont="1" applyFill="1" applyBorder="1" applyAlignment="1">
      <alignment horizontal="center" vertical="center"/>
    </xf>
    <xf numFmtId="0" fontId="6" fillId="6" borderId="22" xfId="0" applyFont="1" applyFill="1" applyBorder="1" applyAlignment="1">
      <alignment horizontal="center" vertical="center"/>
    </xf>
    <xf numFmtId="0" fontId="12" fillId="0" borderId="1" xfId="0" applyFont="1" applyBorder="1" applyAlignment="1">
      <alignment horizontal="center"/>
    </xf>
    <xf numFmtId="0" fontId="12" fillId="0" borderId="1" xfId="0" applyFont="1" applyBorder="1" applyAlignment="1">
      <alignment horizontal="center" vertical="top"/>
    </xf>
    <xf numFmtId="14" fontId="12" fillId="0" borderId="1" xfId="0" applyNumberFormat="1" applyFont="1" applyBorder="1" applyAlignment="1">
      <alignment horizontal="center" vertical="top"/>
    </xf>
    <xf numFmtId="0" fontId="15" fillId="0" borderId="1" xfId="0" applyFont="1" applyBorder="1" applyAlignment="1">
      <alignment horizontal="center" vertical="top"/>
    </xf>
    <xf numFmtId="0" fontId="15" fillId="0" borderId="1" xfId="0" applyFont="1" applyBorder="1" applyAlignment="1">
      <alignment horizontal="center" vertical="top" wrapText="1"/>
    </xf>
    <xf numFmtId="0" fontId="15" fillId="0" borderId="1" xfId="0" applyFont="1" applyBorder="1"/>
    <xf numFmtId="14" fontId="20" fillId="16" borderId="1" xfId="0" applyNumberFormat="1" applyFont="1" applyFill="1" applyBorder="1"/>
    <xf numFmtId="1" fontId="12" fillId="0" borderId="14" xfId="0" applyNumberFormat="1" applyFont="1" applyBorder="1" applyAlignment="1">
      <alignment horizontal="center" vertical="center"/>
    </xf>
    <xf numFmtId="0" fontId="0" fillId="0" borderId="1" xfId="0" applyBorder="1" applyAlignment="1">
      <alignment horizontal="left" vertical="center"/>
    </xf>
    <xf numFmtId="0" fontId="25" fillId="0" borderId="0" xfId="0" applyFont="1"/>
    <xf numFmtId="0" fontId="25" fillId="0" borderId="1" xfId="0" applyFont="1" applyBorder="1" applyAlignment="1">
      <alignment wrapText="1"/>
    </xf>
    <xf numFmtId="0" fontId="35" fillId="0" borderId="0" xfId="0" applyFont="1" applyAlignment="1">
      <alignment wrapText="1"/>
    </xf>
    <xf numFmtId="0" fontId="0" fillId="4" borderId="1" xfId="0" applyFill="1" applyBorder="1"/>
    <xf numFmtId="0" fontId="19" fillId="0" borderId="1" xfId="0" applyFont="1" applyBorder="1" applyAlignment="1">
      <alignment wrapText="1"/>
    </xf>
    <xf numFmtId="0" fontId="19" fillId="0" borderId="1" xfId="0" quotePrefix="1" applyFont="1" applyBorder="1" applyAlignment="1">
      <alignment wrapText="1"/>
    </xf>
    <xf numFmtId="0" fontId="25" fillId="0" borderId="1" xfId="0" applyFont="1" applyBorder="1"/>
    <xf numFmtId="0" fontId="36" fillId="16" borderId="1" xfId="0" applyFont="1" applyFill="1" applyBorder="1" applyAlignment="1">
      <alignment horizontal="center" vertical="center" wrapText="1"/>
    </xf>
    <xf numFmtId="14" fontId="25" fillId="16" borderId="1" xfId="0" applyNumberFormat="1" applyFont="1" applyFill="1" applyBorder="1"/>
    <xf numFmtId="0" fontId="20" fillId="0" borderId="1" xfId="0" applyFont="1" applyBorder="1" applyAlignment="1">
      <alignment wrapText="1"/>
    </xf>
    <xf numFmtId="0" fontId="0" fillId="8" borderId="1" xfId="0" applyFill="1" applyBorder="1"/>
    <xf numFmtId="9" fontId="0" fillId="8" borderId="1" xfId="0" applyNumberFormat="1" applyFill="1" applyBorder="1"/>
    <xf numFmtId="14" fontId="0" fillId="8" borderId="1" xfId="0" applyNumberFormat="1" applyFill="1" applyBorder="1"/>
    <xf numFmtId="0" fontId="5" fillId="32" borderId="1" xfId="0" applyFont="1" applyFill="1" applyBorder="1"/>
    <xf numFmtId="0" fontId="5" fillId="32" borderId="1" xfId="0" applyFont="1" applyFill="1" applyBorder="1" applyAlignment="1">
      <alignment wrapText="1"/>
    </xf>
    <xf numFmtId="0" fontId="33" fillId="22" borderId="1" xfId="0" applyFont="1" applyFill="1" applyBorder="1" applyAlignment="1">
      <alignment vertical="center" wrapText="1"/>
    </xf>
    <xf numFmtId="0" fontId="41" fillId="16" borderId="1" xfId="0" applyFont="1" applyFill="1" applyBorder="1" applyAlignment="1">
      <alignment horizontal="center" vertical="center" wrapText="1"/>
    </xf>
    <xf numFmtId="14" fontId="40" fillId="16" borderId="1" xfId="0" applyNumberFormat="1" applyFont="1" applyFill="1" applyBorder="1"/>
    <xf numFmtId="0" fontId="40" fillId="16" borderId="1" xfId="0" applyFont="1" applyFill="1" applyBorder="1"/>
    <xf numFmtId="1" fontId="40" fillId="16" borderId="1" xfId="0" applyNumberFormat="1" applyFont="1" applyFill="1" applyBorder="1"/>
    <xf numFmtId="0" fontId="40" fillId="0" borderId="0" xfId="0" applyFont="1"/>
    <xf numFmtId="14" fontId="42" fillId="16" borderId="1" xfId="0" applyNumberFormat="1" applyFont="1" applyFill="1" applyBorder="1"/>
    <xf numFmtId="0" fontId="42" fillId="16" borderId="1" xfId="0" applyFont="1" applyFill="1" applyBorder="1"/>
    <xf numFmtId="1" fontId="42" fillId="16" borderId="1" xfId="0" applyNumberFormat="1" applyFont="1" applyFill="1" applyBorder="1"/>
    <xf numFmtId="0" fontId="42" fillId="0" borderId="0" xfId="0" applyFont="1"/>
    <xf numFmtId="0" fontId="0" fillId="37" borderId="1" xfId="0" applyFill="1" applyBorder="1"/>
    <xf numFmtId="0" fontId="0" fillId="22" borderId="1" xfId="0" applyFill="1" applyBorder="1" applyAlignment="1">
      <alignment wrapText="1"/>
    </xf>
    <xf numFmtId="0" fontId="0" fillId="30" borderId="52" xfId="0" applyFill="1" applyBorder="1" applyAlignment="1">
      <alignment horizontal="center" vertical="center"/>
    </xf>
    <xf numFmtId="0" fontId="0" fillId="30" borderId="1" xfId="0" applyFill="1" applyBorder="1" applyAlignment="1">
      <alignment horizontal="center" vertical="center"/>
    </xf>
    <xf numFmtId="0" fontId="0" fillId="31" borderId="52" xfId="0" applyFill="1" applyBorder="1" applyAlignment="1">
      <alignment horizontal="center" vertical="center"/>
    </xf>
    <xf numFmtId="0" fontId="0" fillId="31" borderId="1" xfId="0" applyFill="1" applyBorder="1" applyAlignment="1">
      <alignment horizontal="center" vertical="center"/>
    </xf>
    <xf numFmtId="0" fontId="0" fillId="11" borderId="52" xfId="0" applyFill="1" applyBorder="1" applyAlignment="1">
      <alignment horizontal="center" vertical="center"/>
    </xf>
    <xf numFmtId="0" fontId="0" fillId="11" borderId="1" xfId="0" applyFill="1" applyBorder="1" applyAlignment="1">
      <alignment horizontal="center" vertical="center"/>
    </xf>
    <xf numFmtId="0" fontId="0" fillId="32" borderId="52" xfId="0" applyFill="1" applyBorder="1" applyAlignment="1">
      <alignment horizontal="center" vertical="center"/>
    </xf>
    <xf numFmtId="0" fontId="0" fillId="32" borderId="1" xfId="0" applyFill="1" applyBorder="1" applyAlignment="1">
      <alignment horizontal="center" vertical="center"/>
    </xf>
    <xf numFmtId="0" fontId="0" fillId="15" borderId="1" xfId="0" applyFill="1" applyBorder="1" applyAlignment="1">
      <alignment horizontal="center" vertical="center"/>
    </xf>
    <xf numFmtId="0" fontId="0" fillId="33" borderId="52" xfId="0" applyFill="1" applyBorder="1" applyAlignment="1">
      <alignment horizontal="center" vertical="center"/>
    </xf>
    <xf numFmtId="0" fontId="0" fillId="33" borderId="1" xfId="0" applyFill="1" applyBorder="1" applyAlignment="1">
      <alignment horizontal="center" vertical="center"/>
    </xf>
    <xf numFmtId="0" fontId="3" fillId="0" borderId="0" xfId="1"/>
    <xf numFmtId="0" fontId="0" fillId="22" borderId="55" xfId="0" applyFill="1" applyBorder="1"/>
    <xf numFmtId="0" fontId="5" fillId="0" borderId="0" xfId="0" applyFont="1" applyAlignment="1">
      <alignment wrapText="1"/>
    </xf>
    <xf numFmtId="0" fontId="26" fillId="0" borderId="0" xfId="0" applyFont="1"/>
    <xf numFmtId="0" fontId="5" fillId="0" borderId="28" xfId="0" applyFont="1" applyBorder="1" applyAlignment="1">
      <alignment wrapText="1"/>
    </xf>
    <xf numFmtId="0" fontId="19" fillId="0" borderId="57" xfId="0" applyFont="1" applyBorder="1" applyAlignment="1">
      <alignment horizontal="left"/>
    </xf>
    <xf numFmtId="0" fontId="26" fillId="0" borderId="60" xfId="0" applyFont="1" applyBorder="1"/>
    <xf numFmtId="0" fontId="26" fillId="0" borderId="62" xfId="0" applyFont="1" applyBorder="1"/>
    <xf numFmtId="0" fontId="19" fillId="0" borderId="64" xfId="0" applyFont="1" applyBorder="1" applyAlignment="1">
      <alignment horizontal="left"/>
    </xf>
    <xf numFmtId="0" fontId="26" fillId="0" borderId="66" xfId="0" applyFont="1" applyBorder="1"/>
    <xf numFmtId="0" fontId="0" fillId="22" borderId="65" xfId="0" applyFill="1" applyBorder="1"/>
    <xf numFmtId="0" fontId="45" fillId="0" borderId="59" xfId="0" applyFont="1" applyBorder="1"/>
    <xf numFmtId="0" fontId="46" fillId="0" borderId="57" xfId="0" applyFont="1" applyBorder="1"/>
    <xf numFmtId="0" fontId="46" fillId="0" borderId="1" xfId="0" applyFont="1" applyBorder="1"/>
    <xf numFmtId="0" fontId="46" fillId="0" borderId="64" xfId="0" applyFont="1" applyBorder="1"/>
    <xf numFmtId="0" fontId="27" fillId="3" borderId="35" xfId="0" applyFont="1" applyFill="1" applyBorder="1" applyAlignment="1">
      <alignment horizontal="center" vertical="center" textRotation="255"/>
    </xf>
    <xf numFmtId="0" fontId="19" fillId="3" borderId="55" xfId="0" applyFont="1" applyFill="1" applyBorder="1" applyAlignment="1">
      <alignment horizontal="left"/>
    </xf>
    <xf numFmtId="0" fontId="19" fillId="0" borderId="55" xfId="0" applyFont="1" applyBorder="1" applyAlignment="1">
      <alignment horizontal="left"/>
    </xf>
    <xf numFmtId="0" fontId="46" fillId="0" borderId="55" xfId="0" applyFont="1" applyBorder="1"/>
    <xf numFmtId="0" fontId="45" fillId="0" borderId="55" xfId="0" applyFont="1" applyBorder="1"/>
    <xf numFmtId="0" fontId="19" fillId="0" borderId="58" xfId="0" applyFont="1" applyBorder="1" applyAlignment="1">
      <alignment horizontal="left"/>
    </xf>
    <xf numFmtId="0" fontId="46" fillId="0" borderId="58" xfId="0" applyFont="1" applyBorder="1"/>
    <xf numFmtId="0" fontId="45" fillId="0" borderId="58" xfId="0" applyFont="1" applyBorder="1"/>
    <xf numFmtId="0" fontId="26" fillId="0" borderId="69" xfId="0" applyFont="1" applyBorder="1"/>
    <xf numFmtId="0" fontId="26" fillId="0" borderId="71" xfId="0" applyFont="1" applyBorder="1"/>
    <xf numFmtId="0" fontId="19" fillId="0" borderId="65" xfId="0" applyFont="1" applyBorder="1" applyAlignment="1">
      <alignment horizontal="left"/>
    </xf>
    <xf numFmtId="0" fontId="46" fillId="0" borderId="65" xfId="0" applyFont="1" applyBorder="1"/>
    <xf numFmtId="0" fontId="45" fillId="0" borderId="65" xfId="0" applyFont="1" applyBorder="1"/>
    <xf numFmtId="0" fontId="26" fillId="0" borderId="73" xfId="0" applyFont="1" applyBorder="1"/>
    <xf numFmtId="0" fontId="0" fillId="22" borderId="58" xfId="0" applyFill="1" applyBorder="1"/>
    <xf numFmtId="0" fontId="5" fillId="0" borderId="67" xfId="0" applyFont="1" applyBorder="1" applyAlignment="1">
      <alignment vertical="center"/>
    </xf>
    <xf numFmtId="0" fontId="0" fillId="38" borderId="1" xfId="0" applyFill="1" applyBorder="1"/>
    <xf numFmtId="0" fontId="0" fillId="32" borderId="55" xfId="0" applyFill="1" applyBorder="1"/>
    <xf numFmtId="0" fontId="0" fillId="32" borderId="76" xfId="0" applyFill="1" applyBorder="1"/>
    <xf numFmtId="0" fontId="5" fillId="22" borderId="55" xfId="0" applyFont="1" applyFill="1" applyBorder="1" applyAlignment="1">
      <alignment wrapText="1"/>
    </xf>
    <xf numFmtId="2" fontId="0" fillId="22" borderId="55" xfId="0" applyNumberFormat="1" applyFill="1" applyBorder="1"/>
    <xf numFmtId="2" fontId="0" fillId="32" borderId="55" xfId="0" applyNumberFormat="1" applyFill="1" applyBorder="1"/>
    <xf numFmtId="2" fontId="0" fillId="15" borderId="1" xfId="0" applyNumberFormat="1" applyFill="1" applyBorder="1"/>
    <xf numFmtId="0" fontId="19" fillId="0" borderId="68" xfId="0" applyFont="1" applyBorder="1" applyAlignment="1">
      <alignment vertical="center"/>
    </xf>
    <xf numFmtId="0" fontId="19" fillId="0" borderId="70" xfId="0" applyFont="1" applyBorder="1" applyAlignment="1">
      <alignment vertical="center"/>
    </xf>
    <xf numFmtId="0" fontId="19" fillId="0" borderId="72" xfId="0" applyFont="1" applyBorder="1" applyAlignment="1">
      <alignment vertical="center"/>
    </xf>
    <xf numFmtId="0" fontId="19" fillId="0" borderId="56" xfId="0" applyFont="1" applyBorder="1" applyAlignment="1">
      <alignment vertical="center"/>
    </xf>
    <xf numFmtId="0" fontId="19" fillId="0" borderId="61" xfId="0" applyFont="1" applyBorder="1" applyAlignment="1">
      <alignment vertical="center"/>
    </xf>
    <xf numFmtId="0" fontId="19" fillId="0" borderId="63" xfId="0" applyFont="1" applyBorder="1" applyAlignment="1">
      <alignment vertical="center"/>
    </xf>
    <xf numFmtId="0" fontId="0" fillId="11" borderId="4" xfId="0" applyFill="1" applyBorder="1"/>
    <xf numFmtId="0" fontId="0" fillId="31" borderId="4" xfId="0" applyFill="1" applyBorder="1"/>
    <xf numFmtId="0" fontId="0" fillId="31" borderId="6" xfId="0" applyFill="1" applyBorder="1"/>
    <xf numFmtId="0" fontId="28" fillId="3" borderId="11" xfId="0" applyFont="1" applyFill="1" applyBorder="1" applyAlignment="1">
      <alignment horizontal="center"/>
    </xf>
    <xf numFmtId="0" fontId="28" fillId="3" borderId="6" xfId="0" applyFont="1" applyFill="1" applyBorder="1" applyAlignment="1">
      <alignment horizontal="center"/>
    </xf>
    <xf numFmtId="0" fontId="30" fillId="3" borderId="7" xfId="0" applyFont="1" applyFill="1" applyBorder="1" applyAlignment="1">
      <alignment horizontal="center"/>
    </xf>
    <xf numFmtId="0" fontId="28" fillId="29" borderId="11" xfId="0" applyFont="1" applyFill="1" applyBorder="1" applyAlignment="1">
      <alignment horizontal="center"/>
    </xf>
    <xf numFmtId="0" fontId="28" fillId="29" borderId="6" xfId="0" applyFont="1" applyFill="1" applyBorder="1" applyAlignment="1">
      <alignment horizontal="center"/>
    </xf>
    <xf numFmtId="0" fontId="30" fillId="29" borderId="7" xfId="0" applyFont="1" applyFill="1" applyBorder="1" applyAlignment="1">
      <alignment horizontal="center"/>
    </xf>
    <xf numFmtId="0" fontId="0" fillId="29" borderId="3" xfId="0" applyFill="1" applyBorder="1"/>
    <xf numFmtId="0" fontId="0" fillId="29" borderId="9" xfId="0" applyFill="1" applyBorder="1"/>
    <xf numFmtId="0" fontId="0" fillId="29" borderId="11" xfId="0" applyFill="1" applyBorder="1"/>
    <xf numFmtId="0" fontId="0" fillId="28" borderId="4" xfId="0" applyFill="1" applyBorder="1"/>
    <xf numFmtId="0" fontId="0" fillId="28" borderId="6" xfId="0" applyFill="1" applyBorder="1"/>
    <xf numFmtId="0" fontId="19" fillId="3" borderId="75" xfId="0" applyFont="1" applyFill="1" applyBorder="1" applyAlignment="1">
      <alignment horizontal="left"/>
    </xf>
    <xf numFmtId="2" fontId="0" fillId="22" borderId="75" xfId="0" applyNumberFormat="1" applyFill="1" applyBorder="1"/>
    <xf numFmtId="9" fontId="0" fillId="40" borderId="3" xfId="2" applyFont="1" applyFill="1" applyBorder="1"/>
    <xf numFmtId="9" fontId="0" fillId="40" borderId="9" xfId="2" applyFont="1" applyFill="1" applyBorder="1"/>
    <xf numFmtId="9" fontId="0" fillId="40" borderId="11" xfId="2" applyFont="1" applyFill="1" applyBorder="1"/>
    <xf numFmtId="0" fontId="5" fillId="0" borderId="5" xfId="0" applyFont="1" applyBorder="1"/>
    <xf numFmtId="0" fontId="5" fillId="0" borderId="10" xfId="0" applyFont="1" applyBorder="1"/>
    <xf numFmtId="0" fontId="5" fillId="0" borderId="7" xfId="0" applyFont="1" applyBorder="1"/>
    <xf numFmtId="9" fontId="0" fillId="40" borderId="52" xfId="2" applyFont="1" applyFill="1" applyBorder="1"/>
    <xf numFmtId="0" fontId="25" fillId="39" borderId="1" xfId="0" applyFont="1" applyFill="1" applyBorder="1"/>
    <xf numFmtId="0" fontId="28" fillId="3" borderId="51" xfId="0" applyFont="1" applyFill="1" applyBorder="1" applyAlignment="1">
      <alignment horizontal="center"/>
    </xf>
    <xf numFmtId="0" fontId="28" fillId="3" borderId="48" xfId="0" applyFont="1" applyFill="1" applyBorder="1" applyAlignment="1">
      <alignment horizontal="center"/>
    </xf>
    <xf numFmtId="9" fontId="0" fillId="40" borderId="1" xfId="2" applyFont="1" applyFill="1" applyBorder="1"/>
    <xf numFmtId="9" fontId="0" fillId="22" borderId="0" xfId="0" applyNumberFormat="1" applyFill="1"/>
    <xf numFmtId="0" fontId="0" fillId="39" borderId="0" xfId="0" applyFill="1"/>
    <xf numFmtId="14" fontId="0" fillId="0" borderId="0" xfId="0" quotePrefix="1" applyNumberFormat="1"/>
    <xf numFmtId="0" fontId="0" fillId="0" borderId="0" xfId="0" quotePrefix="1"/>
    <xf numFmtId="16" fontId="0" fillId="22" borderId="0" xfId="0" applyNumberFormat="1" applyFill="1"/>
    <xf numFmtId="14" fontId="25" fillId="0" borderId="0" xfId="0" applyNumberFormat="1" applyFont="1"/>
    <xf numFmtId="0" fontId="0" fillId="15" borderId="54" xfId="0" applyFill="1" applyBorder="1"/>
    <xf numFmtId="0" fontId="0" fillId="11" borderId="9" xfId="0" applyFill="1" applyBorder="1" applyAlignment="1">
      <alignment horizontal="center" vertical="center"/>
    </xf>
    <xf numFmtId="164" fontId="20" fillId="4" borderId="1" xfId="0" applyNumberFormat="1" applyFont="1" applyFill="1" applyBorder="1"/>
    <xf numFmtId="1" fontId="5" fillId="26" borderId="22" xfId="0" applyNumberFormat="1" applyFont="1" applyFill="1" applyBorder="1" applyAlignment="1">
      <alignment horizontal="center"/>
    </xf>
    <xf numFmtId="1" fontId="31" fillId="26" borderId="28" xfId="0" applyNumberFormat="1" applyFont="1" applyFill="1" applyBorder="1" applyAlignment="1">
      <alignment horizontal="center"/>
    </xf>
    <xf numFmtId="1" fontId="31" fillId="30" borderId="28" xfId="0" applyNumberFormat="1" applyFont="1" applyFill="1" applyBorder="1" applyAlignment="1">
      <alignment horizontal="center"/>
    </xf>
    <xf numFmtId="0" fontId="0" fillId="41" borderId="1" xfId="0" applyFill="1" applyBorder="1"/>
    <xf numFmtId="1" fontId="5" fillId="41" borderId="22" xfId="0" applyNumberFormat="1" applyFont="1" applyFill="1" applyBorder="1" applyAlignment="1">
      <alignment horizontal="center"/>
    </xf>
    <xf numFmtId="1" fontId="31" fillId="41" borderId="28" xfId="0" applyNumberFormat="1" applyFont="1" applyFill="1" applyBorder="1" applyAlignment="1">
      <alignment horizontal="center"/>
    </xf>
    <xf numFmtId="0" fontId="0" fillId="42" borderId="1" xfId="0" applyFill="1" applyBorder="1"/>
    <xf numFmtId="1" fontId="5" fillId="42" borderId="22" xfId="0" applyNumberFormat="1" applyFont="1" applyFill="1" applyBorder="1" applyAlignment="1">
      <alignment horizontal="center"/>
    </xf>
    <xf numFmtId="1" fontId="31" fillId="42" borderId="28" xfId="0" applyNumberFormat="1" applyFont="1" applyFill="1" applyBorder="1" applyAlignment="1">
      <alignment horizontal="center"/>
    </xf>
    <xf numFmtId="1" fontId="28" fillId="15" borderId="28" xfId="0" applyNumberFormat="1" applyFont="1" applyFill="1" applyBorder="1" applyAlignment="1">
      <alignment horizontal="center"/>
    </xf>
    <xf numFmtId="0" fontId="0" fillId="0" borderId="1" xfId="0" applyFill="1" applyBorder="1"/>
    <xf numFmtId="9" fontId="0" fillId="0" borderId="0" xfId="0" applyNumberFormat="1"/>
    <xf numFmtId="0" fontId="5" fillId="0" borderId="0" xfId="0" applyFont="1" applyAlignment="1"/>
    <xf numFmtId="0" fontId="0" fillId="30" borderId="80" xfId="0" applyFill="1" applyBorder="1"/>
    <xf numFmtId="0" fontId="0" fillId="30" borderId="13" xfId="0" applyFill="1" applyBorder="1"/>
    <xf numFmtId="0" fontId="0" fillId="30" borderId="81" xfId="0" applyFill="1" applyBorder="1"/>
    <xf numFmtId="0" fontId="0" fillId="30" borderId="15" xfId="0" applyFill="1" applyBorder="1"/>
    <xf numFmtId="0" fontId="0" fillId="31" borderId="82" xfId="0" applyFill="1" applyBorder="1"/>
    <xf numFmtId="0" fontId="0" fillId="31" borderId="13" xfId="0" applyFill="1" applyBorder="1"/>
    <xf numFmtId="0" fontId="0" fillId="31" borderId="15" xfId="0" applyFill="1" applyBorder="1"/>
    <xf numFmtId="0" fontId="0" fillId="11" borderId="82" xfId="0" applyFill="1" applyBorder="1"/>
    <xf numFmtId="0" fontId="0" fillId="11" borderId="13" xfId="0" applyFill="1" applyBorder="1"/>
    <xf numFmtId="0" fontId="0" fillId="11" borderId="15" xfId="0" applyFill="1" applyBorder="1"/>
    <xf numFmtId="0" fontId="0" fillId="32" borderId="82" xfId="0" applyFill="1" applyBorder="1"/>
    <xf numFmtId="0" fontId="0" fillId="32" borderId="13" xfId="0" applyFill="1" applyBorder="1"/>
    <xf numFmtId="0" fontId="0" fillId="32" borderId="15" xfId="0" applyFill="1" applyBorder="1"/>
    <xf numFmtId="0" fontId="0" fillId="15" borderId="82" xfId="0" applyFill="1" applyBorder="1"/>
    <xf numFmtId="0" fontId="0" fillId="15" borderId="13" xfId="0" applyFill="1" applyBorder="1"/>
    <xf numFmtId="0" fontId="0" fillId="15" borderId="15" xfId="0" applyFill="1" applyBorder="1"/>
    <xf numFmtId="0" fontId="0" fillId="33" borderId="26" xfId="0" applyFill="1" applyBorder="1"/>
    <xf numFmtId="0" fontId="0" fillId="33" borderId="25" xfId="0" applyFill="1" applyBorder="1"/>
    <xf numFmtId="0" fontId="28" fillId="14" borderId="3" xfId="0" applyFont="1" applyFill="1" applyBorder="1" applyAlignment="1">
      <alignment horizontal="center" vertical="center"/>
    </xf>
    <xf numFmtId="0" fontId="28" fillId="14" borderId="4" xfId="0" applyFont="1" applyFill="1" applyBorder="1" applyAlignment="1">
      <alignment horizontal="center" vertical="center"/>
    </xf>
    <xf numFmtId="0" fontId="28" fillId="14" borderId="83" xfId="0" applyFont="1" applyFill="1" applyBorder="1" applyAlignment="1">
      <alignment horizontal="center" vertical="center"/>
    </xf>
    <xf numFmtId="0" fontId="28" fillId="14" borderId="84" xfId="0" applyFont="1" applyFill="1" applyBorder="1" applyAlignment="1">
      <alignment horizontal="center" vertical="center"/>
    </xf>
    <xf numFmtId="0" fontId="0" fillId="30" borderId="9" xfId="0" applyFill="1" applyBorder="1" applyAlignment="1">
      <alignment horizontal="center" vertical="center"/>
    </xf>
    <xf numFmtId="0" fontId="0" fillId="30" borderId="10" xfId="0" applyFill="1" applyBorder="1" applyAlignment="1">
      <alignment horizontal="center" vertical="center"/>
    </xf>
    <xf numFmtId="0" fontId="0" fillId="31" borderId="9" xfId="0" applyFill="1" applyBorder="1" applyAlignment="1">
      <alignment horizontal="center" vertical="center"/>
    </xf>
    <xf numFmtId="0" fontId="0" fillId="31" borderId="10" xfId="0" applyFill="1" applyBorder="1" applyAlignment="1">
      <alignment horizontal="center" vertical="center"/>
    </xf>
    <xf numFmtId="0" fontId="0" fillId="11" borderId="10" xfId="0" applyFill="1" applyBorder="1" applyAlignment="1">
      <alignment horizontal="center" vertical="center"/>
    </xf>
    <xf numFmtId="0" fontId="0" fillId="32" borderId="9" xfId="0" applyFill="1" applyBorder="1" applyAlignment="1">
      <alignment horizontal="center" vertical="center"/>
    </xf>
    <xf numFmtId="0" fontId="0" fillId="32" borderId="10"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33" borderId="9" xfId="0" applyFill="1" applyBorder="1" applyAlignment="1">
      <alignment horizontal="center" vertical="center"/>
    </xf>
    <xf numFmtId="0" fontId="0" fillId="33" borderId="10" xfId="0" applyFill="1" applyBorder="1" applyAlignment="1">
      <alignment horizontal="center" vertical="center"/>
    </xf>
    <xf numFmtId="0" fontId="0" fillId="33" borderId="11" xfId="0" applyFill="1" applyBorder="1" applyAlignment="1">
      <alignment horizontal="center" vertical="center"/>
    </xf>
    <xf numFmtId="0" fontId="0" fillId="33" borderId="6" xfId="0" applyFill="1" applyBorder="1" applyAlignment="1">
      <alignment horizontal="center" vertical="center"/>
    </xf>
    <xf numFmtId="0" fontId="0" fillId="33" borderId="7" xfId="0" applyFill="1" applyBorder="1" applyAlignment="1">
      <alignment horizontal="center" vertical="center"/>
    </xf>
    <xf numFmtId="0" fontId="28" fillId="14" borderId="85" xfId="0" applyFont="1" applyFill="1" applyBorder="1" applyAlignment="1">
      <alignment horizontal="center" vertical="center"/>
    </xf>
    <xf numFmtId="0" fontId="0" fillId="30" borderId="13" xfId="0" applyFill="1" applyBorder="1" applyAlignment="1">
      <alignment horizontal="center" vertical="center"/>
    </xf>
    <xf numFmtId="0" fontId="0" fillId="31" borderId="13" xfId="0" applyFill="1" applyBorder="1" applyAlignment="1">
      <alignment horizontal="center" vertical="center"/>
    </xf>
    <xf numFmtId="0" fontId="0" fillId="11" borderId="13" xfId="0" applyFill="1" applyBorder="1" applyAlignment="1">
      <alignment horizontal="center" vertical="center"/>
    </xf>
    <xf numFmtId="0" fontId="0" fillId="32" borderId="13" xfId="0" applyFill="1" applyBorder="1" applyAlignment="1">
      <alignment horizontal="center" vertical="center"/>
    </xf>
    <xf numFmtId="0" fontId="0" fillId="15" borderId="13" xfId="0" applyFill="1" applyBorder="1" applyAlignment="1">
      <alignment horizontal="center" vertical="center"/>
    </xf>
    <xf numFmtId="0" fontId="0" fillId="33" borderId="13" xfId="0" applyFill="1" applyBorder="1" applyAlignment="1">
      <alignment horizontal="center" vertical="center"/>
    </xf>
    <xf numFmtId="0" fontId="0" fillId="33" borderId="15" xfId="0" applyFill="1" applyBorder="1" applyAlignment="1">
      <alignment horizontal="center" vertical="center"/>
    </xf>
    <xf numFmtId="164" fontId="5" fillId="0" borderId="0" xfId="0" applyNumberFormat="1" applyFont="1"/>
    <xf numFmtId="0" fontId="19" fillId="32" borderId="1" xfId="0" applyFont="1" applyFill="1" applyBorder="1" applyAlignment="1">
      <alignment horizontal="left"/>
    </xf>
    <xf numFmtId="0" fontId="22" fillId="32" borderId="23" xfId="0" applyFont="1" applyFill="1" applyBorder="1" applyAlignment="1">
      <alignment horizontal="center" vertical="center"/>
    </xf>
    <xf numFmtId="0" fontId="19" fillId="31" borderId="1" xfId="0" applyFont="1" applyFill="1" applyBorder="1" applyAlignment="1">
      <alignment horizontal="left"/>
    </xf>
    <xf numFmtId="0" fontId="22" fillId="31" borderId="23" xfId="0" applyFont="1" applyFill="1" applyBorder="1" applyAlignment="1">
      <alignment horizontal="center" vertical="center"/>
    </xf>
    <xf numFmtId="164" fontId="15" fillId="0" borderId="1" xfId="0" applyNumberFormat="1" applyFont="1" applyBorder="1" applyAlignment="1">
      <alignment horizontal="center" vertical="top"/>
    </xf>
    <xf numFmtId="9" fontId="5" fillId="0" borderId="1" xfId="0" applyNumberFormat="1" applyFont="1" applyBorder="1"/>
    <xf numFmtId="0" fontId="0" fillId="0" borderId="0" xfId="0" applyAlignment="1">
      <alignment horizontal="left" indent="1"/>
    </xf>
    <xf numFmtId="0" fontId="28" fillId="3" borderId="3" xfId="0" applyFont="1" applyFill="1" applyBorder="1" applyAlignment="1">
      <alignment horizontal="center"/>
    </xf>
    <xf numFmtId="0" fontId="28" fillId="3" borderId="4" xfId="0" applyFont="1" applyFill="1" applyBorder="1" applyAlignment="1">
      <alignment horizontal="center"/>
    </xf>
    <xf numFmtId="0" fontId="28" fillId="3" borderId="5" xfId="0" applyFont="1" applyFill="1" applyBorder="1" applyAlignment="1">
      <alignment horizontal="center"/>
    </xf>
    <xf numFmtId="0" fontId="19" fillId="0" borderId="79" xfId="0" applyFont="1" applyBorder="1" applyAlignment="1">
      <alignment horizontal="center"/>
    </xf>
    <xf numFmtId="0" fontId="27" fillId="8" borderId="0" xfId="0" applyFont="1" applyFill="1" applyAlignment="1">
      <alignment horizontal="center" vertical="center" textRotation="90"/>
    </xf>
    <xf numFmtId="0" fontId="5" fillId="39" borderId="74" xfId="0" applyFont="1" applyFill="1" applyBorder="1" applyAlignment="1">
      <alignment horizontal="center"/>
    </xf>
    <xf numFmtId="0" fontId="5" fillId="39" borderId="0" xfId="0" applyFont="1" applyFill="1" applyAlignment="1">
      <alignment horizontal="center"/>
    </xf>
    <xf numFmtId="0" fontId="0" fillId="12" borderId="1" xfId="0" applyFill="1" applyBorder="1"/>
    <xf numFmtId="0" fontId="48" fillId="16" borderId="1" xfId="0" applyFont="1" applyFill="1" applyBorder="1" applyAlignment="1">
      <alignment horizontal="center" vertical="center" wrapText="1"/>
    </xf>
    <xf numFmtId="0" fontId="0" fillId="0" borderId="1" xfId="0" applyFont="1" applyBorder="1"/>
    <xf numFmtId="0" fontId="49" fillId="0" borderId="1" xfId="0" applyFont="1" applyBorder="1"/>
    <xf numFmtId="0" fontId="0" fillId="16" borderId="1" xfId="0" applyFont="1" applyFill="1" applyBorder="1" applyAlignment="1">
      <alignment horizontal="center"/>
    </xf>
    <xf numFmtId="0" fontId="0" fillId="16" borderId="1" xfId="0" applyFont="1" applyFill="1" applyBorder="1"/>
    <xf numFmtId="0" fontId="49" fillId="16" borderId="1" xfId="0" applyFont="1" applyFill="1" applyBorder="1" applyAlignment="1">
      <alignment horizontal="center"/>
    </xf>
    <xf numFmtId="0" fontId="49" fillId="16" borderId="1" xfId="0" applyFont="1" applyFill="1" applyBorder="1"/>
    <xf numFmtId="0" fontId="40" fillId="22" borderId="0" xfId="0" applyFont="1" applyFill="1"/>
    <xf numFmtId="0" fontId="37" fillId="22" borderId="0" xfId="0" applyFont="1" applyFill="1"/>
    <xf numFmtId="0" fontId="40" fillId="0" borderId="1" xfId="0" applyFont="1" applyFill="1" applyBorder="1"/>
    <xf numFmtId="0" fontId="0" fillId="0" borderId="1" xfId="0" applyFont="1" applyFill="1" applyBorder="1"/>
    <xf numFmtId="0" fontId="40" fillId="0" borderId="0" xfId="0" applyFont="1" applyFill="1"/>
    <xf numFmtId="0" fontId="0" fillId="43" borderId="0" xfId="0" applyFill="1"/>
    <xf numFmtId="0" fontId="0" fillId="31" borderId="9" xfId="0" applyFill="1" applyBorder="1" applyAlignment="1">
      <alignment horizontal="center" vertical="center"/>
    </xf>
    <xf numFmtId="0" fontId="0" fillId="30" borderId="9" xfId="0" applyFill="1" applyBorder="1" applyAlignment="1">
      <alignment horizontal="center" vertical="center"/>
    </xf>
    <xf numFmtId="0" fontId="0" fillId="16" borderId="1" xfId="0" applyFill="1" applyBorder="1"/>
    <xf numFmtId="0" fontId="0" fillId="16" borderId="1" xfId="0" applyFill="1" applyBorder="1" applyAlignment="1">
      <alignment horizontal="center"/>
    </xf>
    <xf numFmtId="0" fontId="20" fillId="31" borderId="1" xfId="0" applyFont="1" applyFill="1" applyBorder="1"/>
    <xf numFmtId="0" fontId="21" fillId="31" borderId="1" xfId="0" applyFont="1" applyFill="1" applyBorder="1" applyAlignment="1">
      <alignment vertical="center" wrapText="1"/>
    </xf>
    <xf numFmtId="0" fontId="42" fillId="31" borderId="1" xfId="0" applyFont="1" applyFill="1" applyBorder="1"/>
    <xf numFmtId="0" fontId="42" fillId="31" borderId="13" xfId="0" applyFont="1" applyFill="1" applyBorder="1"/>
    <xf numFmtId="0" fontId="43" fillId="31" borderId="1" xfId="0" applyFont="1" applyFill="1" applyBorder="1" applyAlignment="1">
      <alignment vertical="center" wrapText="1"/>
    </xf>
    <xf numFmtId="0" fontId="40" fillId="31" borderId="1" xfId="0" applyFont="1" applyFill="1" applyBorder="1"/>
    <xf numFmtId="0" fontId="40" fillId="31" borderId="13" xfId="0" applyFont="1" applyFill="1" applyBorder="1"/>
    <xf numFmtId="0" fontId="41" fillId="31" borderId="1" xfId="0" applyFont="1" applyFill="1" applyBorder="1" applyAlignment="1">
      <alignment vertical="center" wrapText="1"/>
    </xf>
    <xf numFmtId="0" fontId="44" fillId="31" borderId="0" xfId="0" applyFont="1" applyFill="1"/>
    <xf numFmtId="0" fontId="37" fillId="31" borderId="1" xfId="0" applyFont="1" applyFill="1" applyBorder="1"/>
    <xf numFmtId="0" fontId="37" fillId="31" borderId="13" xfId="0" applyFont="1" applyFill="1" applyBorder="1"/>
    <xf numFmtId="0" fontId="38" fillId="31" borderId="1" xfId="0" applyFont="1" applyFill="1" applyBorder="1"/>
    <xf numFmtId="0" fontId="39" fillId="31" borderId="1" xfId="0" applyFont="1" applyFill="1" applyBorder="1" applyAlignment="1">
      <alignment vertical="center" wrapText="1"/>
    </xf>
    <xf numFmtId="0" fontId="37" fillId="15" borderId="1" xfId="0" applyFont="1" applyFill="1" applyBorder="1"/>
    <xf numFmtId="0" fontId="20" fillId="15" borderId="1" xfId="0" applyFont="1" applyFill="1" applyBorder="1"/>
    <xf numFmtId="0" fontId="21" fillId="15" borderId="1" xfId="0" applyFont="1" applyFill="1" applyBorder="1" applyAlignment="1">
      <alignment vertical="center" wrapText="1"/>
    </xf>
    <xf numFmtId="0" fontId="40" fillId="15" borderId="1" xfId="0" applyFont="1" applyFill="1" applyBorder="1"/>
    <xf numFmtId="0" fontId="41" fillId="15" borderId="1" xfId="0" applyFont="1" applyFill="1" applyBorder="1" applyAlignment="1">
      <alignment vertical="center" wrapText="1"/>
    </xf>
    <xf numFmtId="0" fontId="25" fillId="15" borderId="1" xfId="0" applyFont="1" applyFill="1" applyBorder="1"/>
    <xf numFmtId="0" fontId="36" fillId="15" borderId="1" xfId="0" applyFont="1" applyFill="1" applyBorder="1" applyAlignment="1">
      <alignment vertical="center" wrapText="1"/>
    </xf>
    <xf numFmtId="0" fontId="48" fillId="15" borderId="1" xfId="0" applyFont="1" applyFill="1" applyBorder="1" applyAlignment="1">
      <alignment vertical="center" wrapText="1"/>
    </xf>
    <xf numFmtId="0" fontId="40" fillId="12" borderId="1" xfId="0" applyFont="1" applyFill="1" applyBorder="1"/>
    <xf numFmtId="0" fontId="41" fillId="12" borderId="1" xfId="0" applyFont="1" applyFill="1" applyBorder="1" applyAlignment="1">
      <alignment vertical="center" wrapText="1"/>
    </xf>
    <xf numFmtId="0" fontId="20" fillId="12" borderId="1" xfId="0" applyFont="1" applyFill="1" applyBorder="1"/>
    <xf numFmtId="0" fontId="21" fillId="12" borderId="1" xfId="0" applyFont="1" applyFill="1" applyBorder="1" applyAlignment="1">
      <alignment vertical="center" wrapText="1"/>
    </xf>
    <xf numFmtId="0" fontId="5" fillId="12" borderId="1" xfId="0" applyFont="1" applyFill="1" applyBorder="1"/>
    <xf numFmtId="0" fontId="25" fillId="12" borderId="1" xfId="0" applyFont="1" applyFill="1" applyBorder="1"/>
    <xf numFmtId="0" fontId="36" fillId="12" borderId="1" xfId="0" applyFont="1" applyFill="1" applyBorder="1" applyAlignment="1">
      <alignment vertical="center" wrapText="1"/>
    </xf>
    <xf numFmtId="0" fontId="0" fillId="26" borderId="1" xfId="0" applyFill="1" applyBorder="1"/>
    <xf numFmtId="0" fontId="5" fillId="26" borderId="1" xfId="0" applyFont="1" applyFill="1" applyBorder="1"/>
    <xf numFmtId="0" fontId="20" fillId="26" borderId="1" xfId="0" applyFont="1" applyFill="1" applyBorder="1"/>
    <xf numFmtId="0" fontId="21" fillId="26" borderId="1" xfId="0" applyFont="1" applyFill="1" applyBorder="1" applyAlignment="1">
      <alignment vertical="center" wrapText="1"/>
    </xf>
    <xf numFmtId="0" fontId="50" fillId="15" borderId="1" xfId="0" applyFont="1" applyFill="1" applyBorder="1" applyAlignment="1">
      <alignment vertical="center" wrapText="1"/>
    </xf>
    <xf numFmtId="0" fontId="0" fillId="0" borderId="0" xfId="0" applyFill="1" applyBorder="1"/>
    <xf numFmtId="0" fontId="28" fillId="29" borderId="49" xfId="0" applyFont="1" applyFill="1" applyBorder="1" applyAlignment="1">
      <alignment horizontal="center"/>
    </xf>
    <xf numFmtId="0" fontId="28" fillId="29" borderId="86" xfId="0" applyFont="1" applyFill="1" applyBorder="1" applyAlignment="1">
      <alignment horizontal="center"/>
    </xf>
    <xf numFmtId="0" fontId="30" fillId="29" borderId="87" xfId="0" applyFont="1" applyFill="1" applyBorder="1" applyAlignment="1">
      <alignment horizontal="center"/>
    </xf>
    <xf numFmtId="0" fontId="27" fillId="29" borderId="0" xfId="0" applyFont="1" applyFill="1" applyAlignment="1">
      <alignment horizontal="center" vertical="center" textRotation="90"/>
    </xf>
    <xf numFmtId="0" fontId="22" fillId="0" borderId="41" xfId="0" applyFont="1" applyBorder="1" applyAlignment="1">
      <alignment vertical="center"/>
    </xf>
    <xf numFmtId="0" fontId="22" fillId="0" borderId="27" xfId="0" applyFont="1" applyBorder="1" applyAlignment="1">
      <alignment vertical="center"/>
    </xf>
    <xf numFmtId="0" fontId="0" fillId="0" borderId="9" xfId="0" applyBorder="1" applyAlignment="1">
      <alignment horizontal="left"/>
    </xf>
    <xf numFmtId="0" fontId="0" fillId="0" borderId="1"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1" xfId="0" applyBorder="1" applyAlignment="1">
      <alignment horizontal="left"/>
    </xf>
    <xf numFmtId="0" fontId="0" fillId="0" borderId="6" xfId="0" applyBorder="1" applyAlignment="1">
      <alignment horizontal="left"/>
    </xf>
    <xf numFmtId="0" fontId="0" fillId="0" borderId="7" xfId="0" applyBorder="1" applyAlignment="1">
      <alignment horizontal="left"/>
    </xf>
    <xf numFmtId="17" fontId="20" fillId="0" borderId="22" xfId="0" quotePrefix="1" applyNumberFormat="1" applyFont="1" applyBorder="1" applyAlignment="1">
      <alignment horizontal="left" vertical="center"/>
    </xf>
    <xf numFmtId="17" fontId="20" fillId="0" borderId="17" xfId="0" quotePrefix="1" applyNumberFormat="1" applyFont="1" applyBorder="1" applyAlignment="1">
      <alignment horizontal="left" vertical="center"/>
    </xf>
    <xf numFmtId="17" fontId="20" fillId="0" borderId="28" xfId="0" quotePrefix="1" applyNumberFormat="1" applyFont="1" applyBorder="1" applyAlignment="1">
      <alignment horizontal="left" vertical="center"/>
    </xf>
    <xf numFmtId="164" fontId="29" fillId="22" borderId="1" xfId="0" applyNumberFormat="1" applyFont="1" applyFill="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0" fillId="0" borderId="10" xfId="0" applyBorder="1" applyAlignment="1">
      <alignment horizontal="left"/>
    </xf>
    <xf numFmtId="0" fontId="5" fillId="28" borderId="22" xfId="0" applyFont="1" applyFill="1" applyBorder="1" applyAlignment="1">
      <alignment horizontal="center" vertical="center" textRotation="90" wrapText="1"/>
    </xf>
    <xf numFmtId="0" fontId="5" fillId="28" borderId="17" xfId="0" applyFont="1" applyFill="1" applyBorder="1" applyAlignment="1">
      <alignment horizontal="center" vertical="center" textRotation="90"/>
    </xf>
    <xf numFmtId="17" fontId="20" fillId="0" borderId="17" xfId="0" applyNumberFormat="1" applyFont="1" applyBorder="1" applyAlignment="1">
      <alignment horizontal="left" vertical="center"/>
    </xf>
    <xf numFmtId="17" fontId="20" fillId="0" borderId="28" xfId="0" applyNumberFormat="1" applyFont="1" applyBorder="1" applyAlignment="1">
      <alignment horizontal="left" vertical="center"/>
    </xf>
    <xf numFmtId="0" fontId="5" fillId="4" borderId="34" xfId="0" applyFont="1" applyFill="1" applyBorder="1" applyAlignment="1">
      <alignment horizontal="center" vertical="center" textRotation="90" wrapText="1"/>
    </xf>
    <xf numFmtId="0" fontId="5" fillId="4" borderId="35" xfId="0" applyFont="1" applyFill="1" applyBorder="1" applyAlignment="1">
      <alignment horizontal="center" vertical="center" textRotation="90" wrapText="1"/>
    </xf>
    <xf numFmtId="0" fontId="5" fillId="34" borderId="35" xfId="0" applyFont="1" applyFill="1" applyBorder="1" applyAlignment="1">
      <alignment horizontal="center" vertical="center" textRotation="90"/>
    </xf>
    <xf numFmtId="0" fontId="0" fillId="33" borderId="38" xfId="0" applyFill="1" applyBorder="1" applyAlignment="1">
      <alignment horizontal="center" vertical="center"/>
    </xf>
    <xf numFmtId="0" fontId="0" fillId="33" borderId="39" xfId="0" applyFill="1" applyBorder="1" applyAlignment="1">
      <alignment horizontal="center" vertical="center"/>
    </xf>
    <xf numFmtId="0" fontId="0" fillId="33" borderId="40" xfId="0" applyFill="1" applyBorder="1" applyAlignment="1">
      <alignment horizontal="center" vertical="center"/>
    </xf>
    <xf numFmtId="0" fontId="5" fillId="0" borderId="43" xfId="0" applyFont="1" applyBorder="1" applyAlignment="1">
      <alignment horizontal="center"/>
    </xf>
    <xf numFmtId="0" fontId="5" fillId="0" borderId="12" xfId="0" applyFont="1" applyBorder="1" applyAlignment="1">
      <alignment horizontal="center"/>
    </xf>
    <xf numFmtId="0" fontId="5" fillId="0" borderId="44" xfId="0" applyFont="1" applyBorder="1" applyAlignment="1">
      <alignment horizontal="center"/>
    </xf>
    <xf numFmtId="0" fontId="0" fillId="32" borderId="53" xfId="0" applyFill="1" applyBorder="1" applyAlignment="1">
      <alignment horizontal="center" vertical="center"/>
    </xf>
    <xf numFmtId="0" fontId="0" fillId="32" borderId="9" xfId="0" applyFill="1" applyBorder="1" applyAlignment="1">
      <alignment horizontal="center" vertical="center"/>
    </xf>
    <xf numFmtId="0" fontId="0" fillId="32" borderId="11" xfId="0" applyFill="1" applyBorder="1" applyAlignment="1">
      <alignment horizontal="center" vertical="center"/>
    </xf>
    <xf numFmtId="0" fontId="0" fillId="31" borderId="53" xfId="0" applyFill="1" applyBorder="1" applyAlignment="1">
      <alignment horizontal="center" vertical="center"/>
    </xf>
    <xf numFmtId="0" fontId="0" fillId="31" borderId="9" xfId="0" applyFill="1" applyBorder="1" applyAlignment="1">
      <alignment horizontal="center" vertical="center"/>
    </xf>
    <xf numFmtId="0" fontId="0" fillId="31" borderId="11" xfId="0" applyFill="1" applyBorder="1" applyAlignment="1">
      <alignment horizontal="center" vertical="center"/>
    </xf>
    <xf numFmtId="0" fontId="0" fillId="30" borderId="3" xfId="0" applyFill="1" applyBorder="1" applyAlignment="1">
      <alignment horizontal="center" vertical="center"/>
    </xf>
    <xf numFmtId="0" fontId="0" fillId="30" borderId="9" xfId="0" applyFill="1" applyBorder="1" applyAlignment="1">
      <alignment horizontal="center" vertical="center"/>
    </xf>
    <xf numFmtId="0" fontId="0" fillId="30" borderId="51" xfId="0" applyFill="1" applyBorder="1" applyAlignment="1">
      <alignment horizontal="center" vertical="center"/>
    </xf>
    <xf numFmtId="0" fontId="0" fillId="30" borderId="11" xfId="0" applyFill="1" applyBorder="1" applyAlignment="1">
      <alignment horizontal="center" vertical="center"/>
    </xf>
    <xf numFmtId="0" fontId="0" fillId="11" borderId="5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0" fontId="0" fillId="15" borderId="53" xfId="0" applyFill="1" applyBorder="1" applyAlignment="1">
      <alignment horizontal="center" vertical="center"/>
    </xf>
    <xf numFmtId="0" fontId="0" fillId="15" borderId="9" xfId="0" applyFill="1" applyBorder="1" applyAlignment="1">
      <alignment horizontal="center" vertical="center"/>
    </xf>
    <xf numFmtId="0" fontId="0" fillId="15" borderId="11" xfId="0" applyFill="1" applyBorder="1" applyAlignment="1">
      <alignment horizontal="center" vertical="center"/>
    </xf>
    <xf numFmtId="0" fontId="0" fillId="33" borderId="54" xfId="0" applyFill="1" applyBorder="1" applyAlignment="1">
      <alignment horizontal="center" vertical="center"/>
    </xf>
    <xf numFmtId="0" fontId="19" fillId="0" borderId="79" xfId="0" applyFont="1" applyBorder="1" applyAlignment="1">
      <alignment horizontal="center"/>
    </xf>
    <xf numFmtId="0" fontId="29" fillId="14" borderId="35" xfId="0" applyFont="1" applyFill="1" applyBorder="1" applyAlignment="1">
      <alignment horizontal="center" vertical="center" textRotation="90" wrapText="1"/>
    </xf>
    <xf numFmtId="0" fontId="27" fillId="8" borderId="35" xfId="0" applyFont="1" applyFill="1" applyBorder="1" applyAlignment="1">
      <alignment horizontal="center" vertical="center" textRotation="90" wrapText="1"/>
    </xf>
    <xf numFmtId="0" fontId="27" fillId="8" borderId="0" xfId="0" applyFont="1" applyFill="1" applyAlignment="1">
      <alignment horizontal="center" vertical="center" textRotation="90"/>
    </xf>
    <xf numFmtId="0" fontId="19" fillId="0" borderId="18" xfId="0" applyFont="1" applyBorder="1" applyAlignment="1">
      <alignment horizontal="center"/>
    </xf>
    <xf numFmtId="0" fontId="19" fillId="0" borderId="19" xfId="0" applyFont="1" applyBorder="1" applyAlignment="1">
      <alignment horizontal="center"/>
    </xf>
    <xf numFmtId="0" fontId="19" fillId="0" borderId="20" xfId="0" applyFont="1" applyBorder="1" applyAlignment="1">
      <alignment horizontal="center"/>
    </xf>
    <xf numFmtId="0" fontId="28" fillId="3" borderId="3" xfId="0" applyFont="1" applyFill="1" applyBorder="1" applyAlignment="1">
      <alignment horizontal="center"/>
    </xf>
    <xf numFmtId="0" fontId="28" fillId="3" borderId="4" xfId="0" applyFont="1" applyFill="1" applyBorder="1" applyAlignment="1">
      <alignment horizontal="center"/>
    </xf>
    <xf numFmtId="0" fontId="28" fillId="3" borderId="5" xfId="0" applyFont="1" applyFill="1" applyBorder="1" applyAlignment="1">
      <alignment horizontal="center"/>
    </xf>
    <xf numFmtId="0" fontId="28" fillId="3" borderId="77" xfId="0" applyFont="1" applyFill="1" applyBorder="1" applyAlignment="1">
      <alignment horizontal="center"/>
    </xf>
    <xf numFmtId="0" fontId="28" fillId="3" borderId="78" xfId="0" applyFont="1" applyFill="1" applyBorder="1" applyAlignment="1">
      <alignment horizontal="center"/>
    </xf>
    <xf numFmtId="0" fontId="28" fillId="3" borderId="21" xfId="0" applyFont="1" applyFill="1" applyBorder="1" applyAlignment="1">
      <alignment horizontal="center"/>
    </xf>
    <xf numFmtId="0" fontId="28" fillId="29" borderId="77" xfId="0" applyFont="1" applyFill="1" applyBorder="1" applyAlignment="1">
      <alignment horizontal="center"/>
    </xf>
    <xf numFmtId="0" fontId="28" fillId="29" borderId="78" xfId="0" applyFont="1" applyFill="1" applyBorder="1" applyAlignment="1">
      <alignment horizontal="center"/>
    </xf>
    <xf numFmtId="0" fontId="28" fillId="29" borderId="21" xfId="0" applyFont="1" applyFill="1" applyBorder="1" applyAlignment="1">
      <alignment horizontal="center"/>
    </xf>
    <xf numFmtId="0" fontId="27" fillId="36" borderId="35" xfId="0" applyFont="1" applyFill="1" applyBorder="1" applyAlignment="1">
      <alignment horizontal="center" vertical="center" textRotation="255"/>
    </xf>
    <xf numFmtId="0" fontId="27" fillId="8" borderId="35" xfId="0" applyFont="1" applyFill="1" applyBorder="1" applyAlignment="1">
      <alignment horizontal="center" vertical="center" textRotation="255"/>
    </xf>
    <xf numFmtId="0" fontId="0" fillId="18" borderId="43" xfId="0" applyFill="1" applyBorder="1" applyAlignment="1">
      <alignment horizontal="center"/>
    </xf>
    <xf numFmtId="0" fontId="0" fillId="18" borderId="12" xfId="0" applyFill="1" applyBorder="1" applyAlignment="1">
      <alignment horizontal="center"/>
    </xf>
    <xf numFmtId="0" fontId="0" fillId="18" borderId="44" xfId="0" applyFill="1" applyBorder="1" applyAlignment="1">
      <alignment horizontal="center"/>
    </xf>
    <xf numFmtId="0" fontId="0" fillId="0" borderId="1" xfId="0" applyBorder="1" applyAlignment="1">
      <alignment horizontal="center"/>
    </xf>
    <xf numFmtId="0" fontId="0" fillId="0" borderId="47" xfId="0" applyBorder="1" applyAlignment="1">
      <alignment horizontal="center" vertical="center" textRotation="255"/>
    </xf>
    <xf numFmtId="0" fontId="0" fillId="0" borderId="48" xfId="0" applyBorder="1" applyAlignment="1">
      <alignment horizontal="center" vertical="center" textRotation="255"/>
    </xf>
    <xf numFmtId="0" fontId="0" fillId="0" borderId="49" xfId="0" applyBorder="1" applyAlignment="1">
      <alignment horizontal="center" vertical="center" textRotation="255"/>
    </xf>
    <xf numFmtId="0" fontId="0" fillId="0" borderId="1" xfId="0" applyBorder="1" applyAlignment="1">
      <alignment horizontal="center" vertical="center" textRotation="255"/>
    </xf>
    <xf numFmtId="0" fontId="5" fillId="8" borderId="43" xfId="0" applyFont="1" applyFill="1" applyBorder="1" applyAlignment="1">
      <alignment horizontal="center"/>
    </xf>
    <xf numFmtId="0" fontId="5" fillId="8" borderId="44" xfId="0" applyFont="1" applyFill="1" applyBorder="1" applyAlignment="1">
      <alignment horizontal="center"/>
    </xf>
    <xf numFmtId="14" fontId="18" fillId="0" borderId="1" xfId="0" applyNumberFormat="1" applyFont="1" applyBorder="1" applyAlignment="1">
      <alignment horizontal="center" vertical="center" wrapText="1"/>
    </xf>
    <xf numFmtId="0" fontId="8" fillId="12" borderId="13" xfId="0" applyFont="1" applyFill="1" applyBorder="1" applyAlignment="1">
      <alignment horizontal="center" vertical="center"/>
    </xf>
    <xf numFmtId="0" fontId="8" fillId="12" borderId="14"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18" fillId="0" borderId="1" xfId="0" applyFont="1" applyBorder="1" applyAlignment="1">
      <alignment horizontal="center" vertical="center" wrapText="1"/>
    </xf>
    <xf numFmtId="9" fontId="12" fillId="0" borderId="1" xfId="2" applyFont="1" applyBorder="1" applyAlignment="1">
      <alignment horizontal="center"/>
    </xf>
    <xf numFmtId="0" fontId="12" fillId="0" borderId="1" xfId="0" applyFont="1" applyBorder="1" applyAlignment="1">
      <alignment horizontal="center"/>
    </xf>
    <xf numFmtId="0" fontId="15" fillId="0" borderId="1" xfId="0" applyFont="1" applyBorder="1" applyAlignment="1">
      <alignment horizontal="center"/>
    </xf>
    <xf numFmtId="0" fontId="5" fillId="0" borderId="0" xfId="0" applyFont="1" applyAlignment="1">
      <alignment horizontal="right"/>
    </xf>
    <xf numFmtId="0" fontId="10" fillId="13" borderId="3" xfId="0" applyFont="1" applyFill="1" applyBorder="1" applyAlignment="1">
      <alignment horizontal="center"/>
    </xf>
    <xf numFmtId="0" fontId="10" fillId="13" borderId="4" xfId="0" applyFont="1" applyFill="1" applyBorder="1" applyAlignment="1">
      <alignment horizontal="center"/>
    </xf>
    <xf numFmtId="0" fontId="10" fillId="13" borderId="5" xfId="0" applyFont="1" applyFill="1" applyBorder="1" applyAlignment="1">
      <alignment horizontal="center"/>
    </xf>
    <xf numFmtId="0" fontId="12" fillId="5" borderId="9" xfId="0" applyFont="1" applyFill="1" applyBorder="1" applyAlignment="1">
      <alignment horizontal="center"/>
    </xf>
    <xf numFmtId="0" fontId="12" fillId="5" borderId="1" xfId="0" applyFont="1" applyFill="1" applyBorder="1" applyAlignment="1">
      <alignment horizontal="center"/>
    </xf>
    <xf numFmtId="0" fontId="12" fillId="5" borderId="10" xfId="0" applyFont="1" applyFill="1" applyBorder="1" applyAlignment="1">
      <alignment horizontal="center"/>
    </xf>
    <xf numFmtId="0" fontId="6" fillId="6" borderId="18" xfId="0" applyFont="1" applyFill="1" applyBorder="1" applyAlignment="1">
      <alignment horizontal="center" vertical="top"/>
    </xf>
    <xf numFmtId="0" fontId="6" fillId="6" borderId="19" xfId="0" applyFont="1" applyFill="1" applyBorder="1" applyAlignment="1">
      <alignment horizontal="center" vertical="top"/>
    </xf>
    <xf numFmtId="0" fontId="6" fillId="6" borderId="20" xfId="0" applyFont="1" applyFill="1" applyBorder="1" applyAlignment="1">
      <alignment horizontal="center" vertical="top"/>
    </xf>
    <xf numFmtId="0" fontId="6" fillId="6" borderId="22" xfId="0" applyFont="1" applyFill="1" applyBorder="1" applyAlignment="1">
      <alignment horizontal="center" vertical="center"/>
    </xf>
    <xf numFmtId="0" fontId="34" fillId="35" borderId="1" xfId="4" applyBorder="1" applyAlignment="1">
      <alignment horizontal="center"/>
    </xf>
    <xf numFmtId="0" fontId="5" fillId="36" borderId="1" xfId="0" applyFont="1" applyFill="1" applyBorder="1" applyAlignment="1">
      <alignment horizontal="center"/>
    </xf>
  </cellXfs>
  <cellStyles count="5">
    <cellStyle name="Bad" xfId="4" builtinId="27"/>
    <cellStyle name="Good" xfId="3" builtinId="26"/>
    <cellStyle name="Hyperlink" xfId="1" builtinId="8"/>
    <cellStyle name="Normal" xfId="0" builtinId="0"/>
    <cellStyle name="Percent" xfId="2" builtinId="5"/>
  </cellStyles>
  <dxfs count="182">
    <dxf>
      <fill>
        <patternFill>
          <bgColor theme="9" tint="0.59996337778862885"/>
        </patternFill>
      </fill>
    </dxf>
    <dxf>
      <fill>
        <patternFill>
          <bgColor rgb="FFFE6674"/>
        </patternFill>
      </fill>
    </dxf>
    <dxf>
      <fill>
        <patternFill>
          <bgColor theme="9" tint="0.59996337778862885"/>
        </patternFill>
      </fill>
    </dxf>
    <dxf>
      <fill>
        <patternFill>
          <bgColor rgb="FFFE6674"/>
        </patternFill>
      </fill>
    </dxf>
    <dxf>
      <fill>
        <patternFill>
          <bgColor theme="9" tint="0.59996337778862885"/>
        </patternFill>
      </fill>
    </dxf>
    <dxf>
      <fill>
        <patternFill>
          <bgColor rgb="FFFE6674"/>
        </patternFill>
      </fill>
    </dxf>
    <dxf>
      <fill>
        <patternFill>
          <bgColor theme="9" tint="0.59996337778862885"/>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ill>
        <patternFill>
          <bgColor theme="9" tint="0.59996337778862885"/>
        </patternFill>
      </fill>
    </dxf>
    <dxf>
      <fill>
        <patternFill>
          <bgColor rgb="FFFE6674"/>
        </patternFill>
      </fill>
    </dxf>
    <dxf>
      <fill>
        <patternFill>
          <bgColor theme="9" tint="0.59996337778862885"/>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b/>
        <i val="0"/>
        <color theme="4"/>
      </font>
      <fill>
        <patternFill>
          <bgColor theme="0"/>
        </patternFill>
      </fill>
    </dxf>
    <dxf>
      <font>
        <b/>
        <i val="0"/>
        <color theme="4"/>
      </font>
      <fill>
        <patternFill>
          <bgColor theme="0"/>
        </patternFill>
      </fill>
    </dxf>
    <dxf>
      <font>
        <b/>
        <i val="0"/>
        <color theme="4"/>
      </font>
      <fill>
        <patternFill>
          <bgColor theme="0"/>
        </patternFill>
      </fill>
    </dxf>
    <dxf>
      <font>
        <b/>
        <i val="0"/>
        <color theme="4"/>
      </font>
      <fill>
        <patternFill>
          <bgColor theme="0"/>
        </patternFill>
      </fill>
    </dxf>
    <dxf>
      <font>
        <b/>
        <i val="0"/>
        <color theme="4"/>
      </font>
      <fill>
        <patternFill>
          <bgColor theme="0"/>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ill>
        <patternFill>
          <bgColor theme="9" tint="0.59996337778862885"/>
        </patternFill>
      </fill>
    </dxf>
    <dxf>
      <fill>
        <patternFill>
          <bgColor rgb="FFFE6674"/>
        </patternFill>
      </fill>
    </dxf>
    <dxf>
      <fill>
        <patternFill>
          <bgColor theme="9" tint="0.59996337778862885"/>
        </patternFill>
      </fill>
    </dxf>
    <dxf>
      <font>
        <color theme="0"/>
      </font>
      <fill>
        <patternFill>
          <bgColor rgb="FFFF0000"/>
        </patternFill>
      </fill>
    </dxf>
    <dxf>
      <fill>
        <patternFill>
          <bgColor theme="7" tint="0.39994506668294322"/>
        </patternFill>
      </fill>
    </dxf>
    <dxf>
      <font>
        <color theme="0"/>
      </font>
      <fill>
        <patternFill>
          <bgColor theme="9" tint="0.39994506668294322"/>
        </patternFill>
      </fill>
    </dxf>
    <dxf>
      <fill>
        <patternFill>
          <bgColor theme="9" tint="0.79998168889431442"/>
        </patternFill>
      </fill>
    </dxf>
    <dxf>
      <fill>
        <patternFill>
          <bgColor theme="9" tint="0.79998168889431442"/>
        </patternFill>
      </fill>
    </dxf>
    <dxf>
      <fill>
        <patternFill>
          <bgColor theme="9" tint="0.79998168889431442"/>
        </patternFill>
      </fill>
    </dxf>
    <dxf>
      <font>
        <color theme="0"/>
      </font>
      <fill>
        <patternFill>
          <bgColor rgb="FFFF0000"/>
        </patternFill>
      </fill>
    </dxf>
    <dxf>
      <fill>
        <patternFill>
          <bgColor theme="7" tint="0.39994506668294322"/>
        </patternFill>
      </fill>
    </dxf>
    <dxf>
      <font>
        <color theme="0"/>
      </font>
      <fill>
        <patternFill>
          <bgColor theme="9" tint="0.3999450666829432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C00000"/>
      </font>
      <fill>
        <patternFill>
          <bgColor theme="7" tint="0.39994506668294322"/>
        </patternFill>
      </fill>
    </dxf>
    <dxf>
      <font>
        <b/>
        <i val="0"/>
        <color theme="1"/>
      </font>
      <fill>
        <patternFill>
          <bgColor theme="9" tint="0.59996337778862885"/>
        </patternFill>
      </fill>
    </dxf>
    <dxf>
      <font>
        <b/>
        <i val="0"/>
        <color theme="7" tint="0.39994506668294322"/>
      </font>
      <fill>
        <patternFill>
          <bgColor theme="0" tint="-0.24994659260841701"/>
        </patternFill>
      </fill>
    </dxf>
    <dxf>
      <font>
        <b/>
        <i val="0"/>
        <color theme="0"/>
      </font>
      <fill>
        <patternFill>
          <bgColor rgb="FF0070C0"/>
        </patternFill>
      </fill>
    </dxf>
    <dxf>
      <font>
        <b/>
        <i val="0"/>
        <color theme="1"/>
      </font>
      <fill>
        <patternFill>
          <bgColor rgb="FFFF0000"/>
        </patternFill>
      </fill>
    </dxf>
    <dxf>
      <font>
        <b/>
        <i val="0"/>
        <color rgb="FFC00000"/>
      </font>
      <fill>
        <patternFill>
          <bgColor theme="7" tint="0.39994506668294322"/>
        </patternFill>
      </fill>
    </dxf>
    <dxf>
      <font>
        <b/>
        <i val="0"/>
        <color theme="1"/>
      </font>
      <fill>
        <patternFill>
          <bgColor theme="9" tint="0.59996337778862885"/>
        </patternFill>
      </fill>
    </dxf>
    <dxf>
      <font>
        <b/>
        <i val="0"/>
        <color theme="7" tint="0.39994506668294322"/>
      </font>
      <fill>
        <patternFill>
          <bgColor theme="0" tint="-0.24994659260841701"/>
        </patternFill>
      </fill>
    </dxf>
    <dxf>
      <font>
        <b/>
        <i val="0"/>
        <color theme="0"/>
      </font>
      <fill>
        <patternFill>
          <bgColor rgb="FF0070C0"/>
        </patternFill>
      </fill>
    </dxf>
    <dxf>
      <font>
        <b/>
        <i val="0"/>
        <color theme="1"/>
      </font>
      <fill>
        <patternFill>
          <bgColor rgb="FFFF0000"/>
        </patternFill>
      </fill>
    </dxf>
    <dxf>
      <font>
        <b/>
        <i val="0"/>
        <color rgb="FFC00000"/>
      </font>
      <fill>
        <patternFill>
          <bgColor theme="7" tint="0.39994506668294322"/>
        </patternFill>
      </fill>
    </dxf>
    <dxf>
      <font>
        <b/>
        <i val="0"/>
        <color theme="1"/>
      </font>
      <fill>
        <patternFill>
          <bgColor theme="9" tint="0.59996337778862885"/>
        </patternFill>
      </fill>
    </dxf>
    <dxf>
      <font>
        <b/>
        <i val="0"/>
        <color theme="7" tint="0.39994506668294322"/>
      </font>
      <fill>
        <patternFill>
          <bgColor theme="0" tint="-0.24994659260841701"/>
        </patternFill>
      </fill>
    </dxf>
    <dxf>
      <font>
        <b/>
        <i val="0"/>
        <color theme="0"/>
      </font>
      <fill>
        <patternFill>
          <bgColor rgb="FF0070C0"/>
        </patternFill>
      </fill>
    </dxf>
    <dxf>
      <font>
        <b/>
        <i val="0"/>
        <color theme="1"/>
      </font>
      <fill>
        <patternFill>
          <bgColor rgb="FFFF0000"/>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font>
        <color theme="0"/>
      </font>
      <fill>
        <patternFill>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FFCC"/>
      <color rgb="FFFE66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Planned Vs Delivered Business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697487295953289E-2"/>
          <c:y val="0.15854318418314259"/>
          <c:w val="0.90897148219166901"/>
          <c:h val="0.53775217743983872"/>
        </c:manualLayout>
      </c:layout>
      <c:barChart>
        <c:barDir val="col"/>
        <c:grouping val="clustered"/>
        <c:varyColors val="0"/>
        <c:ser>
          <c:idx val="0"/>
          <c:order val="0"/>
          <c:tx>
            <c:strRef>
              <c:f>'Raw Data(not being used)'!$B$56</c:f>
              <c:strCache>
                <c:ptCount val="1"/>
                <c:pt idx="0">
                  <c:v>Sum of Planned Business Value</c:v>
                </c:pt>
              </c:strCache>
            </c:strRef>
          </c:tx>
          <c:spPr>
            <a:solidFill>
              <a:schemeClr val="accent1"/>
            </a:solidFill>
            <a:ln>
              <a:noFill/>
            </a:ln>
            <a:effectLst/>
          </c:spPr>
          <c:invertIfNegative val="0"/>
          <c:cat>
            <c:strRef>
              <c:f>'Raw Data(not being used)'!$A$57:$A$77</c:f>
              <c:strCache>
                <c:ptCount val="19"/>
                <c:pt idx="0">
                  <c:v>BAU</c:v>
                </c:pt>
                <c:pt idx="1">
                  <c:v>BHF</c:v>
                </c:pt>
                <c:pt idx="2">
                  <c:v>CECL</c:v>
                </c:pt>
                <c:pt idx="3">
                  <c:v>Innovation</c:v>
                </c:pt>
                <c:pt idx="4">
                  <c:v>InvestmentTypeClassification</c:v>
                </c:pt>
                <c:pt idx="5">
                  <c:v>MIM-AIC</c:v>
                </c:pt>
                <c:pt idx="6">
                  <c:v>Power BI</c:v>
                </c:pt>
                <c:pt idx="7">
                  <c:v>Support</c:v>
                </c:pt>
                <c:pt idx="8">
                  <c:v>Data360</c:v>
                </c:pt>
                <c:pt idx="9">
                  <c:v>Decom/Digital</c:v>
                </c:pt>
                <c:pt idx="10">
                  <c:v>Argus</c:v>
                </c:pt>
                <c:pt idx="11">
                  <c:v>Tech Debt</c:v>
                </c:pt>
                <c:pt idx="12">
                  <c:v>Reporting</c:v>
                </c:pt>
                <c:pt idx="13">
                  <c:v>Compliance</c:v>
                </c:pt>
                <c:pt idx="14">
                  <c:v>TEBOW</c:v>
                </c:pt>
                <c:pt idx="15">
                  <c:v>Decom</c:v>
                </c:pt>
                <c:pt idx="16">
                  <c:v>MIM</c:v>
                </c:pt>
                <c:pt idx="17">
                  <c:v>OWS</c:v>
                </c:pt>
                <c:pt idx="18">
                  <c:v>SOFR/SONIA</c:v>
                </c:pt>
              </c:strCache>
            </c:strRef>
          </c:cat>
          <c:val>
            <c:numRef>
              <c:f>'Raw Data(not being used)'!$B$57:$B$77</c:f>
              <c:numCache>
                <c:formatCode>General</c:formatCode>
                <c:ptCount val="21"/>
                <c:pt idx="0">
                  <c:v>96</c:v>
                </c:pt>
                <c:pt idx="1">
                  <c:v>15</c:v>
                </c:pt>
                <c:pt idx="2">
                  <c:v>24</c:v>
                </c:pt>
                <c:pt idx="3">
                  <c:v>46</c:v>
                </c:pt>
                <c:pt idx="4">
                  <c:v>16</c:v>
                </c:pt>
                <c:pt idx="5">
                  <c:v>21</c:v>
                </c:pt>
                <c:pt idx="6">
                  <c:v>49</c:v>
                </c:pt>
                <c:pt idx="7">
                  <c:v>64</c:v>
                </c:pt>
                <c:pt idx="8">
                  <c:v>43</c:v>
                </c:pt>
                <c:pt idx="9">
                  <c:v>88</c:v>
                </c:pt>
                <c:pt idx="10">
                  <c:v>3</c:v>
                </c:pt>
                <c:pt idx="11">
                  <c:v>3</c:v>
                </c:pt>
                <c:pt idx="12">
                  <c:v>24</c:v>
                </c:pt>
                <c:pt idx="13">
                  <c:v>33</c:v>
                </c:pt>
                <c:pt idx="14">
                  <c:v>7</c:v>
                </c:pt>
                <c:pt idx="15">
                  <c:v>286</c:v>
                </c:pt>
                <c:pt idx="16">
                  <c:v>9</c:v>
                </c:pt>
                <c:pt idx="17">
                  <c:v>7</c:v>
                </c:pt>
                <c:pt idx="18">
                  <c:v>28</c:v>
                </c:pt>
              </c:numCache>
            </c:numRef>
          </c:val>
          <c:extLst>
            <c:ext xmlns:c16="http://schemas.microsoft.com/office/drawing/2014/chart" uri="{C3380CC4-5D6E-409C-BE32-E72D297353CC}">
              <c16:uniqueId val="{00000000-7203-44E0-9F0C-73489F412BF1}"/>
            </c:ext>
          </c:extLst>
        </c:ser>
        <c:ser>
          <c:idx val="1"/>
          <c:order val="1"/>
          <c:tx>
            <c:strRef>
              <c:f>'Raw Data(not being used)'!$C$56</c:f>
              <c:strCache>
                <c:ptCount val="1"/>
                <c:pt idx="0">
                  <c:v>Sum of Delivered Business Value</c:v>
                </c:pt>
              </c:strCache>
            </c:strRef>
          </c:tx>
          <c:spPr>
            <a:solidFill>
              <a:schemeClr val="accent2"/>
            </a:solidFill>
            <a:ln>
              <a:noFill/>
            </a:ln>
            <a:effectLst/>
          </c:spPr>
          <c:invertIfNegative val="0"/>
          <c:cat>
            <c:strRef>
              <c:f>'Raw Data(not being used)'!$A$57:$A$77</c:f>
              <c:strCache>
                <c:ptCount val="19"/>
                <c:pt idx="0">
                  <c:v>BAU</c:v>
                </c:pt>
                <c:pt idx="1">
                  <c:v>BHF</c:v>
                </c:pt>
                <c:pt idx="2">
                  <c:v>CECL</c:v>
                </c:pt>
                <c:pt idx="3">
                  <c:v>Innovation</c:v>
                </c:pt>
                <c:pt idx="4">
                  <c:v>InvestmentTypeClassification</c:v>
                </c:pt>
                <c:pt idx="5">
                  <c:v>MIM-AIC</c:v>
                </c:pt>
                <c:pt idx="6">
                  <c:v>Power BI</c:v>
                </c:pt>
                <c:pt idx="7">
                  <c:v>Support</c:v>
                </c:pt>
                <c:pt idx="8">
                  <c:v>Data360</c:v>
                </c:pt>
                <c:pt idx="9">
                  <c:v>Decom/Digital</c:v>
                </c:pt>
                <c:pt idx="10">
                  <c:v>Argus</c:v>
                </c:pt>
                <c:pt idx="11">
                  <c:v>Tech Debt</c:v>
                </c:pt>
                <c:pt idx="12">
                  <c:v>Reporting</c:v>
                </c:pt>
                <c:pt idx="13">
                  <c:v>Compliance</c:v>
                </c:pt>
                <c:pt idx="14">
                  <c:v>TEBOW</c:v>
                </c:pt>
                <c:pt idx="15">
                  <c:v>Decom</c:v>
                </c:pt>
                <c:pt idx="16">
                  <c:v>MIM</c:v>
                </c:pt>
                <c:pt idx="17">
                  <c:v>OWS</c:v>
                </c:pt>
                <c:pt idx="18">
                  <c:v>SOFR/SONIA</c:v>
                </c:pt>
              </c:strCache>
            </c:strRef>
          </c:cat>
          <c:val>
            <c:numRef>
              <c:f>'Raw Data(not being used)'!$C$57:$C$77</c:f>
              <c:numCache>
                <c:formatCode>General</c:formatCode>
                <c:ptCount val="21"/>
                <c:pt idx="0">
                  <c:v>29</c:v>
                </c:pt>
                <c:pt idx="1">
                  <c:v>0</c:v>
                </c:pt>
                <c:pt idx="2">
                  <c:v>0</c:v>
                </c:pt>
                <c:pt idx="3">
                  <c:v>0</c:v>
                </c:pt>
                <c:pt idx="4">
                  <c:v>0</c:v>
                </c:pt>
                <c:pt idx="5">
                  <c:v>10</c:v>
                </c:pt>
                <c:pt idx="6">
                  <c:v>0</c:v>
                </c:pt>
                <c:pt idx="7">
                  <c:v>5</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1-7203-44E0-9F0C-73489F412BF1}"/>
            </c:ext>
          </c:extLst>
        </c:ser>
        <c:dLbls>
          <c:showLegendKey val="0"/>
          <c:showVal val="0"/>
          <c:showCatName val="0"/>
          <c:showSerName val="0"/>
          <c:showPercent val="0"/>
          <c:showBubbleSize val="0"/>
        </c:dLbls>
        <c:gapWidth val="219"/>
        <c:overlap val="-27"/>
        <c:axId val="1072158064"/>
        <c:axId val="920293968"/>
      </c:barChart>
      <c:catAx>
        <c:axId val="10721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93968"/>
        <c:crosses val="autoZero"/>
        <c:auto val="1"/>
        <c:lblAlgn val="ctr"/>
        <c:lblOffset val="100"/>
        <c:noMultiLvlLbl val="0"/>
      </c:catAx>
      <c:valAx>
        <c:axId val="92029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58064"/>
        <c:crosses val="autoZero"/>
        <c:crossBetween val="between"/>
      </c:valAx>
      <c:spPr>
        <a:noFill/>
        <a:ln>
          <a:noFill/>
        </a:ln>
        <a:effectLst/>
      </c:spPr>
    </c:plotArea>
    <c:legend>
      <c:legendPos val="r"/>
      <c:layout>
        <c:manualLayout>
          <c:xMode val="edge"/>
          <c:yMode val="edge"/>
          <c:x val="0.7020907386576678"/>
          <c:y val="9.3593980808827762E-2"/>
          <c:w val="0.28521084864391949"/>
          <c:h val="0.1120281650627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Progress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'Raw Data(not being used)'!$I$31</c:f>
              <c:strCache>
                <c:ptCount val="1"/>
                <c:pt idx="0">
                  <c:v>% Planned</c:v>
                </c:pt>
              </c:strCache>
            </c:strRef>
          </c:tx>
          <c:spPr>
            <a:solidFill>
              <a:schemeClr val="accent1"/>
            </a:solidFill>
            <a:ln>
              <a:noFill/>
            </a:ln>
            <a:effectLst/>
          </c:spPr>
          <c:invertIfNegative val="0"/>
          <c:cat>
            <c:strRef>
              <c:f>'Raw Data(not being used)'!$H$32:$H$52</c:f>
              <c:strCache>
                <c:ptCount val="19"/>
                <c:pt idx="0">
                  <c:v>BAU</c:v>
                </c:pt>
                <c:pt idx="1">
                  <c:v>BHF</c:v>
                </c:pt>
                <c:pt idx="2">
                  <c:v>CECL</c:v>
                </c:pt>
                <c:pt idx="3">
                  <c:v>Innovation</c:v>
                </c:pt>
                <c:pt idx="4">
                  <c:v>InvestmentTypeClassification</c:v>
                </c:pt>
                <c:pt idx="5">
                  <c:v>MIM-AIC</c:v>
                </c:pt>
                <c:pt idx="6">
                  <c:v>Power BI</c:v>
                </c:pt>
                <c:pt idx="7">
                  <c:v>Support</c:v>
                </c:pt>
                <c:pt idx="8">
                  <c:v>Data360</c:v>
                </c:pt>
                <c:pt idx="9">
                  <c:v>Decom/Digital</c:v>
                </c:pt>
                <c:pt idx="10">
                  <c:v>Argus</c:v>
                </c:pt>
                <c:pt idx="11">
                  <c:v>Tech Debt</c:v>
                </c:pt>
                <c:pt idx="12">
                  <c:v>Reporting</c:v>
                </c:pt>
                <c:pt idx="13">
                  <c:v>Compliance</c:v>
                </c:pt>
                <c:pt idx="14">
                  <c:v>TEBOW</c:v>
                </c:pt>
                <c:pt idx="15">
                  <c:v>Decom</c:v>
                </c:pt>
                <c:pt idx="16">
                  <c:v>MIM</c:v>
                </c:pt>
                <c:pt idx="17">
                  <c:v>OWS</c:v>
                </c:pt>
                <c:pt idx="18">
                  <c:v>SOFR/SONIA</c:v>
                </c:pt>
              </c:strCache>
            </c:strRef>
          </c:cat>
          <c:val>
            <c:numRef>
              <c:f>'Raw Data(not being used)'!$I$32:$I$52</c:f>
              <c:numCache>
                <c:formatCode>General</c:formatCode>
                <c:ptCount val="2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numCache>
            </c:numRef>
          </c:val>
          <c:extLst>
            <c:ext xmlns:c16="http://schemas.microsoft.com/office/drawing/2014/chart" uri="{C3380CC4-5D6E-409C-BE32-E72D297353CC}">
              <c16:uniqueId val="{00000001-017A-4159-81C5-1F089F6DF939}"/>
            </c:ext>
          </c:extLst>
        </c:ser>
        <c:ser>
          <c:idx val="1"/>
          <c:order val="1"/>
          <c:tx>
            <c:strRef>
              <c:f>'Raw Data(not being used)'!$J$31</c:f>
              <c:strCache>
                <c:ptCount val="1"/>
                <c:pt idx="0">
                  <c:v>% Completed</c:v>
                </c:pt>
              </c:strCache>
            </c:strRef>
          </c:tx>
          <c:spPr>
            <a:solidFill>
              <a:schemeClr val="accent2"/>
            </a:solidFill>
            <a:ln>
              <a:noFill/>
            </a:ln>
            <a:effectLst/>
          </c:spPr>
          <c:invertIfNegative val="0"/>
          <c:cat>
            <c:strRef>
              <c:f>'Raw Data(not being used)'!$H$32:$H$52</c:f>
              <c:strCache>
                <c:ptCount val="19"/>
                <c:pt idx="0">
                  <c:v>BAU</c:v>
                </c:pt>
                <c:pt idx="1">
                  <c:v>BHF</c:v>
                </c:pt>
                <c:pt idx="2">
                  <c:v>CECL</c:v>
                </c:pt>
                <c:pt idx="3">
                  <c:v>Innovation</c:v>
                </c:pt>
                <c:pt idx="4">
                  <c:v>InvestmentTypeClassification</c:v>
                </c:pt>
                <c:pt idx="5">
                  <c:v>MIM-AIC</c:v>
                </c:pt>
                <c:pt idx="6">
                  <c:v>Power BI</c:v>
                </c:pt>
                <c:pt idx="7">
                  <c:v>Support</c:v>
                </c:pt>
                <c:pt idx="8">
                  <c:v>Data360</c:v>
                </c:pt>
                <c:pt idx="9">
                  <c:v>Decom/Digital</c:v>
                </c:pt>
                <c:pt idx="10">
                  <c:v>Argus</c:v>
                </c:pt>
                <c:pt idx="11">
                  <c:v>Tech Debt</c:v>
                </c:pt>
                <c:pt idx="12">
                  <c:v>Reporting</c:v>
                </c:pt>
                <c:pt idx="13">
                  <c:v>Compliance</c:v>
                </c:pt>
                <c:pt idx="14">
                  <c:v>TEBOW</c:v>
                </c:pt>
                <c:pt idx="15">
                  <c:v>Decom</c:v>
                </c:pt>
                <c:pt idx="16">
                  <c:v>MIM</c:v>
                </c:pt>
                <c:pt idx="17">
                  <c:v>OWS</c:v>
                </c:pt>
                <c:pt idx="18">
                  <c:v>SOFR/SONIA</c:v>
                </c:pt>
              </c:strCache>
            </c:strRef>
          </c:cat>
          <c:val>
            <c:numRef>
              <c:f>'Raw Data(not being used)'!$J$32:$J$52</c:f>
              <c:numCache>
                <c:formatCode>General</c:formatCode>
                <c:ptCount val="21"/>
                <c:pt idx="0">
                  <c:v>29.166666666666668</c:v>
                </c:pt>
                <c:pt idx="1">
                  <c:v>0</c:v>
                </c:pt>
                <c:pt idx="2">
                  <c:v>11.111111111111111</c:v>
                </c:pt>
                <c:pt idx="3">
                  <c:v>8.3333333333333321</c:v>
                </c:pt>
                <c:pt idx="4">
                  <c:v>0</c:v>
                </c:pt>
                <c:pt idx="5">
                  <c:v>33.333333333333329</c:v>
                </c:pt>
                <c:pt idx="6">
                  <c:v>17.857142857142858</c:v>
                </c:pt>
                <c:pt idx="7">
                  <c:v>25.833333333333336</c:v>
                </c:pt>
                <c:pt idx="8">
                  <c:v>11.666666666666666</c:v>
                </c:pt>
                <c:pt idx="9">
                  <c:v>12.435897435897436</c:v>
                </c:pt>
                <c:pt idx="10">
                  <c:v>0</c:v>
                </c:pt>
                <c:pt idx="11">
                  <c:v>50</c:v>
                </c:pt>
                <c:pt idx="12">
                  <c:v>8.3333333333333321</c:v>
                </c:pt>
                <c:pt idx="13">
                  <c:v>17.5</c:v>
                </c:pt>
                <c:pt idx="14">
                  <c:v>20</c:v>
                </c:pt>
                <c:pt idx="15">
                  <c:v>0.87719298245614052</c:v>
                </c:pt>
                <c:pt idx="16">
                  <c:v>0</c:v>
                </c:pt>
                <c:pt idx="17">
                  <c:v>0</c:v>
                </c:pt>
                <c:pt idx="18">
                  <c:v>12.5</c:v>
                </c:pt>
              </c:numCache>
            </c:numRef>
          </c:val>
          <c:extLst>
            <c:ext xmlns:c16="http://schemas.microsoft.com/office/drawing/2014/chart" uri="{C3380CC4-5D6E-409C-BE32-E72D297353CC}">
              <c16:uniqueId val="{00000002-017A-4159-81C5-1F089F6DF939}"/>
            </c:ext>
          </c:extLst>
        </c:ser>
        <c:dLbls>
          <c:showLegendKey val="0"/>
          <c:showVal val="0"/>
          <c:showCatName val="0"/>
          <c:showSerName val="0"/>
          <c:showPercent val="0"/>
          <c:showBubbleSize val="0"/>
        </c:dLbls>
        <c:gapWidth val="219"/>
        <c:overlap val="-27"/>
        <c:axId val="1328933120"/>
        <c:axId val="1215318256"/>
        <c:extLst/>
      </c:barChart>
      <c:catAx>
        <c:axId val="13289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318256"/>
        <c:crosses val="autoZero"/>
        <c:auto val="1"/>
        <c:lblAlgn val="ctr"/>
        <c:lblOffset val="100"/>
        <c:noMultiLvlLbl val="0"/>
      </c:catAx>
      <c:valAx>
        <c:axId val="121531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3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3</xdr:col>
      <xdr:colOff>284262</xdr:colOff>
      <xdr:row>63</xdr:row>
      <xdr:rowOff>139928</xdr:rowOff>
    </xdr:to>
    <xdr:pic>
      <xdr:nvPicPr>
        <xdr:cNvPr id="2" name="Picture 1">
          <a:extLst>
            <a:ext uri="{FF2B5EF4-FFF2-40B4-BE49-F238E27FC236}">
              <a16:creationId xmlns:a16="http://schemas.microsoft.com/office/drawing/2014/main" id="{05EBC4D6-29A8-443D-BC0D-C59B3AF20DF0}"/>
            </a:ext>
          </a:extLst>
        </xdr:cNvPr>
        <xdr:cNvPicPr>
          <a:picLocks noChangeAspect="1"/>
        </xdr:cNvPicPr>
      </xdr:nvPicPr>
      <xdr:blipFill>
        <a:blip xmlns:r="http://schemas.openxmlformats.org/officeDocument/2006/relationships" r:embed="rId1"/>
        <a:stretch>
          <a:fillRect/>
        </a:stretch>
      </xdr:blipFill>
      <xdr:spPr>
        <a:xfrm>
          <a:off x="0" y="5767917"/>
          <a:ext cx="3438095" cy="6638095"/>
        </a:xfrm>
        <a:prstGeom prst="rect">
          <a:avLst/>
        </a:prstGeom>
      </xdr:spPr>
    </xdr:pic>
    <xdr:clientData/>
  </xdr:twoCellAnchor>
  <xdr:twoCellAnchor editAs="oneCell">
    <xdr:from>
      <xdr:col>3</xdr:col>
      <xdr:colOff>455084</xdr:colOff>
      <xdr:row>30</xdr:row>
      <xdr:rowOff>127001</xdr:rowOff>
    </xdr:from>
    <xdr:to>
      <xdr:col>9</xdr:col>
      <xdr:colOff>560381</xdr:colOff>
      <xdr:row>65</xdr:row>
      <xdr:rowOff>161084</xdr:rowOff>
    </xdr:to>
    <xdr:pic>
      <xdr:nvPicPr>
        <xdr:cNvPr id="3" name="Picture 2">
          <a:extLst>
            <a:ext uri="{FF2B5EF4-FFF2-40B4-BE49-F238E27FC236}">
              <a16:creationId xmlns:a16="http://schemas.microsoft.com/office/drawing/2014/main" id="{18640E82-97B5-43AA-BFCF-38B194E64E5A}"/>
            </a:ext>
          </a:extLst>
        </xdr:cNvPr>
        <xdr:cNvPicPr>
          <a:picLocks noChangeAspect="1"/>
        </xdr:cNvPicPr>
      </xdr:nvPicPr>
      <xdr:blipFill>
        <a:blip xmlns:r="http://schemas.openxmlformats.org/officeDocument/2006/relationships" r:embed="rId2"/>
        <a:stretch>
          <a:fillRect/>
        </a:stretch>
      </xdr:blipFill>
      <xdr:spPr>
        <a:xfrm>
          <a:off x="3608917" y="5704418"/>
          <a:ext cx="4285714" cy="67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18</xdr:col>
      <xdr:colOff>172920</xdr:colOff>
      <xdr:row>35</xdr:row>
      <xdr:rowOff>105694</xdr:rowOff>
    </xdr:to>
    <xdr:pic>
      <xdr:nvPicPr>
        <xdr:cNvPr id="2" name="Picture 1">
          <a:extLst>
            <a:ext uri="{FF2B5EF4-FFF2-40B4-BE49-F238E27FC236}">
              <a16:creationId xmlns:a16="http://schemas.microsoft.com/office/drawing/2014/main" id="{9B42F375-DBA5-455B-A25D-7DA78D95E9F7}"/>
            </a:ext>
          </a:extLst>
        </xdr:cNvPr>
        <xdr:cNvPicPr>
          <a:picLocks noChangeAspect="1"/>
        </xdr:cNvPicPr>
      </xdr:nvPicPr>
      <xdr:blipFill>
        <a:blip xmlns:r="http://schemas.openxmlformats.org/officeDocument/2006/relationships" r:embed="rId1"/>
        <a:stretch>
          <a:fillRect/>
        </a:stretch>
      </xdr:blipFill>
      <xdr:spPr>
        <a:xfrm>
          <a:off x="609600" y="190500"/>
          <a:ext cx="10536120" cy="65826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0</xdr:rowOff>
    </xdr:from>
    <xdr:to>
      <xdr:col>10</xdr:col>
      <xdr:colOff>9525</xdr:colOff>
      <xdr:row>24</xdr:row>
      <xdr:rowOff>47624</xdr:rowOff>
    </xdr:to>
    <xdr:graphicFrame macro="">
      <xdr:nvGraphicFramePr>
        <xdr:cNvPr id="2" name="Chart 1">
          <a:extLst>
            <a:ext uri="{FF2B5EF4-FFF2-40B4-BE49-F238E27FC236}">
              <a16:creationId xmlns:a16="http://schemas.microsoft.com/office/drawing/2014/main" id="{FE426E18-0A69-42A3-8C70-C66938F8E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606423</xdr:colOff>
      <xdr:row>0</xdr:row>
      <xdr:rowOff>0</xdr:rowOff>
    </xdr:from>
    <xdr:to>
      <xdr:col>25</xdr:col>
      <xdr:colOff>9524</xdr:colOff>
      <xdr:row>24</xdr:row>
      <xdr:rowOff>19050</xdr:rowOff>
    </xdr:to>
    <xdr:graphicFrame macro="">
      <xdr:nvGraphicFramePr>
        <xdr:cNvPr id="3" name="Chart 2">
          <a:extLst>
            <a:ext uri="{FF2B5EF4-FFF2-40B4-BE49-F238E27FC236}">
              <a16:creationId xmlns:a16="http://schemas.microsoft.com/office/drawing/2014/main" id="{9E0019B6-0084-4114-8199-90EA6D9415D3}"/>
            </a:ext>
            <a:ext uri="{147F2762-F138-4A5C-976F-8EAC2B608ADB}">
              <a16:predDERef xmlns:a16="http://schemas.microsoft.com/office/drawing/2014/main" pred="{FE426E18-0A69-42A3-8C70-C66938F8E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alasubramanian, Jagadeesan" id="{8664009C-6A62-41BB-A066-4392AC6DD2C6}" userId="S::jbalasubramanian1@metlife.com::dcaf0fd6-d363-4d87-9b1a-94597d0c7ce6" providerId="AD"/>
  <person displayName="Nambuthodiyil, Prasob" id="{93B78D5C-5F48-47EA-B804-36218B7D9482}" userId="S::prasob.nambuthodiyil@metlife.com::fc9ebb1c-3bc9-4c55-a52a-5dd62ef64d6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subramanian, Jagadeesan" refreshedDate="44568.553451967593" createdVersion="6" refreshedVersion="6" minRefreshableVersion="3" recordCount="40" xr:uid="{68E00162-DCFE-4AA8-BC01-170731E91CFF}">
  <cacheSource type="worksheet">
    <worksheetSource ref="B2:P63" sheet="PI Commitments"/>
  </cacheSource>
  <cacheFields count="15">
    <cacheField name="ID" numFmtId="0">
      <sharedItems containsBlank="1" containsMixedTypes="1" containsNumber="1" containsInteger="1" minValue="368434" maxValue="471077"/>
    </cacheField>
    <cacheField name="Title" numFmtId="0">
      <sharedItems containsBlank="1" count="380">
        <s v="Power BI : Testing REI Market Area --&gt; PortfolioExposureDataDumpReport report build "/>
        <s v="Power BI :  CML All Report build"/>
        <s v="Power BI :    Surveillance Summary Report"/>
        <s v="Power BI : Loan Maturity Report Testing"/>
        <s v="Power BI : Exposure --&gt; Tenant Search report build Testing"/>
        <s v="Power BI : Borrower Search Report build Testing"/>
        <s v="Power BI : Loan Search - Critical Fields report build Testing"/>
        <s v="MIS Decommission : Historical Data Migration analysis - Asset Master"/>
        <s v="Power BI : Exposure --&gt;MIS Exposure report build"/>
        <s v="MIS Decommission : Historical Data Migration - Building"/>
        <s v="MIS Decommission : Historical Data Migration - Risk Pool"/>
        <s v="MIS Decommission : Historical Data Migration - UnfundedCommitmentFundingSCHD"/>
        <s v="MIS Decommission : Historical Data Migration - LoanCommitment"/>
        <s v="Power BI :    Geographic Report Report"/>
        <s v="Power BI : Commercial Reports --&gt; Market Value by Company Detail report build Testing"/>
        <s v="Power BI : Commercial Reports --&gt; Market Value by Company Summary report build testing"/>
        <s v="Power BI : Commercial Reports --&gt; Market Value by Loan report build Testing"/>
        <s v="Power BI : Loan Terms --&gt; Loan Terms report build Testing"/>
        <m/>
        <s v="MIS Decommission : Historical Data Migration  - Loan Position"/>
        <s v="MIS Decommission : Historical Data Migration  - Loan Rating"/>
        <s v="MIS Decommission : Historical Data Migration  - Loan Price"/>
        <s v="Power BI : Investor Reports --&gt; Price report build – Testing"/>
        <s v="Power BI: UAT Support to modify the reports based on Business feedback"/>
        <s v="MIS : Market Value - Spread mapping by Rating &gt; Loan TYpe &gt; Property TYpes"/>
        <s v="MIS: Balance Inquiry Report page break fix when all balance fields are chosen"/>
        <s v="MIS Decommission : Historical Data Migration  - LoanUnscheduledincome"/>
        <s v="MIS Decommission : Historical Data Migration  -AmSchedule"/>
        <s v="MIS Decommission : Historical Data Migration  -AssetPerformance"/>
        <s v="MIS Decommission : Historical Data Migration - Loan Transaction"/>
        <s v="MIS Decommission : Historical Data Migration  - BeneficialBorrower"/>
        <s v="MIS Decommission : Historical Data Migration  - Property Valuation"/>
        <s v="Power BI : Trend --&gt; Rating Trend report build"/>
        <s v="MIS : Infrastructure change implementation during non business   hours"/>
        <s v="2012 OS Server upgrades to 2016 support"/>
        <s v="Add SOFR Projections to Admin (Repurpose the Libor Projections in Admin) - REWORK (vendor)"/>
        <s v="Add additional property-level fields for NGBS and Green Globes in Backshop - Part 2 (NLS &amp; Cubes)"/>
        <s v="Add Sponsor to LMW"/>
        <s v="Add Stabilized Portfolio size at a mandate level" u="1"/>
        <s v="Borrower Name - Deal Screener Expression Results " u="1"/>
        <s v="CLS/LMW Feeds - Trimming Spaces around each field that MIS consumes" u="1"/>
        <s v="MIS Decom: Compare and fix variances in BHF Trades_BHF_UNFUND_LOAN.xml file - PI 12" u="1"/>
        <s v="Enhance - Deal Banner" u="1"/>
        <s v="Enhancement - Update to Exposures" u="1"/>
        <s v="EDGE Browser - MSAS Remaining Items" u="1"/>
        <s v="Populate missing country in OWS feed" u="1"/>
        <s v="Loans cannot fund without being rate locked" u="1"/>
        <s v="MIS : Historical Data Migration for CML data - Analysis only" u="1"/>
        <s v="Co-Tenant: Add the Sender Name to the &quot;Notify Co-Tenant Liaison&quot; notification" u="1"/>
        <s v="Colend Determination - Step 1" u="1"/>
        <s v="Multiple Note Loan Enhancements (vendor)" u="1"/>
        <s v="Office components on shared server - CLS" u="1"/>
        <s v="MIS Refactoring - Historical Data Prep Work" u="1"/>
        <s v="Automate Title Document (Migrate away from HotDocs)" u="1"/>
        <s v="MIS Decom: Compare and fix variances in Loan Position ME file  - PI 12" u="1"/>
        <s v="MIS Decom: Enrich the transaction domain for additional four data elements - PI-10" u="1"/>
        <s v="MIS Decom: To Support BHF testing, Analyze and Fix the following issues if  any in Asset Master - PI-10" u="1"/>
        <s v="MIS Decom: Compare and fix variances in Loan Position Daily file - PI 12" u="1"/>
        <s v="MIS Decom: Create the template to reassemble cash_miscom_amer from the Data Lake - PI 12" u="1"/>
        <s v="MIS Decom: Create the template to reassemble cash_miscom_apac from the Data Lake - PI 12" u="1"/>
        <s v="MIS Decom: Create the template to reassemble cash_miscom_emea from the Data Lake - PI 12" u="1"/>
        <s v="Spike : MIS Decom: Requirement Analysis for Enhance functionality for commitment loans in Building Domain - PI-10" u="1"/>
        <s v="Loan#197505  - Pending transaction" u="1"/>
        <s v="SOFR SONIA: Compounding and Simple completion" u="1"/>
        <s v="MIS Decommission : Historical Data Migration analysis - Property Valuation" u="1"/>
        <s v="CLS: Penny Balance Discrepancies " u="1"/>
        <s v="LMW - Capital Markets - CM Classifications" u="1"/>
        <s v="Payment File from Servicer consumption process change" u="1"/>
        <s v="Data 360 : Create a excel cube report for FHLB reporting" u="1"/>
        <s v="Data 360 :  Farmers - Asset Master data availability in Data Lake " u="1"/>
        <s v="Use ReXML ARGUS file to extract in-place rents when importing in LMW" u="1"/>
        <s v="MIS Decommission : Historical Data Migration analysis - Loan Position" u="1"/>
        <s v="MIS Decom: Compare and fix variances in Daily_holdings_hanover.csv file - PI 12" u="1"/>
        <s v="MIS: Accounting Book Value , Subledger &amp; Transaction reports SQL scripts extraction for Alteryx environment" u="1"/>
        <s v="Add Trade Duration and Yield to BHF Trade 365 file" u="1"/>
        <s v="MIS Decommission : Historical Data Migration analysis - Risk Pool" u="1"/>
        <s v="Multiple Note Loan Enhancements" u="1"/>
        <s v="MIS Refactoring: Re-assemble Loan Position File from Data Lake using IDC API     " u="1"/>
        <s v="MIS Decom: Publish MetLifePartyID in the Loan Asset Master Data Domain for 'LoanManager' and 'ProductionAnalyst' - PI-10" u="1"/>
        <s v="MIS : Income Query Reports (COM, AGI &amp; RES)" u="1"/>
        <s v="MIS Decom: Create a new data domain called &quot;AssetPerformance&quot; - PI-10" u="1"/>
        <s v="Power BI : REI Market Area --&gt; PortfolioExposureDataDumpReport report build" u="1"/>
        <s v="Add a validation on the Note Allocation screen to prevent blank or duplicate Refinance allocation records (vendor)" u="1"/>
        <s v="MV - Cash Flow to Maturity" u="1"/>
        <s v="MIS Decommission : Historical Data Migration analysis - LoanCommitment" u="1"/>
        <s v="MIS Refactoring: Re-assemble BHF Month End Mortgage Funding File from Data Lake using IDC API" u="1"/>
        <s v="MIS Refactoring – Remove Decimal places of 2 digital  in the amount and percentage files where applicable" u="1"/>
        <s v="SOFR/SONIA - All in Rate" u="1"/>
        <s v="Whole Loan Investment Distribution" u="1"/>
        <s v="REI Test Automation Cases - CLS/LMW" u="1"/>
        <s v="SOFR/SONIA Rounding Updates - Spread Rate" u="1"/>
        <s v="MIS Refactoring - Re-Assembly – LoanValuation.xml" u="1"/>
        <s v="Debt Yield fields do not display in the LMW cube for newly boarded loans" u="1"/>
        <s v="Power BI : Commercial Reports --&gt; Market Value by Company Summary report build" u="1"/>
        <s v="MIS Decom: Reassemble BHF Daily Mortgage Funding File from Data Lake using DALFI - PI-11" u="1"/>
        <s v="MIS Decom: Reassemble BHF Trade Prepay loan feed File from Data Lake using DALFI - PI-11" u="1"/>
        <s v="MIS Decom: Reassemble BHF Trade Unfund loan feed File from Data Lake using DALFI - PI-11" u="1"/>
        <s v="Manual Parameter Override" u="1"/>
        <s v="Required fields for Deal Lost Notification" u="1"/>
        <s v="Power BI : Loan Search - Critical Fields report build" u="1"/>
        <s v="AG Digital Portal Data Encryption - PII - Email notification - UAT Support" u="1"/>
        <s v="MIS Decom: Create the template to reassemble the cash_miscom_amer from the Data Lake - PI 12" u="1"/>
        <s v="MIS Decom: Create the template to reassemble the cash_miscom_apac from the Data Lake - PI 12" u="1"/>
        <s v="MIS Decom: Create the template to reassemble the cash_miscom_emea from the Data Lake - PI 12" u="1"/>
        <s v="MIS Decom: Compare and fix variances in Liberty_Mutual_Monthly_Holdings_mm.dd.yyyy.csv file - PI 12" u="1"/>
        <s v="MIS Decom: Compare the Liberty_Mutual_Monthly_Holdings_mm.dd.yyyy.csv file VS MIS Liberty_Mutual_Monthly_Holdings_mm.dd.yyyy.csv file in Prod - PI 12" u="1"/>
        <s v="Backshop QA Automation (IT only)" u="1"/>
        <s v="CT Enablement  Phase 1 Script Clean Up" u="1"/>
        <s v="Power BI : Commercial Reports --&gt; Market Value by Loan report build" u="1"/>
        <s v="MIS Decom:  Testing &amp;  Deployment the consumption of Person Party Id in LMW - PI-11" u="1"/>
        <s v="MIS Refactoring - Re-Assembly – Trade_BHF_Prepay_LOAN.xml – Analysis- GRID Data Mapping" u="1"/>
        <s v="LMW RBC Calculation for 2020" u="1"/>
        <s v="Merge to Backshop Main Branch (Vendor)" u="1"/>
        <s v="Power BI : Borrower Search Report build" u="1"/>
        <s v="Power BI : Loan Terms --&gt; Loan Terms report build" u="1"/>
        <s v="Cosmetic fixes to Backshop screens due to Code Merge" u="1"/>
        <s v="MIS Refactoring - Re-Assembly – Trades_BHF_LOAN.xml – Analysis- GRID Data Mapping" u="1"/>
        <s v="Co-Tenancy: Modify the Tenant Download template to allow for co-tenancy clause to be input" u="1"/>
        <s v="702529 -  clearing out deferred balances Issue" u="1"/>
        <s v="MIS Decom: Technical Debt Cleanup for PI-11 - PI-11" u="1"/>
        <s v="Modify Commitment JSON file to use Loan # for MetLifeAssetId" u="1"/>
        <s v="MIS Refactoring: Re-assemble BHF Daily Prepay Trade File from Data Lake using IDC API" u="1"/>
        <s v="Add &quot;Index Name&quot; to Ad-Hoc Reports Screen" u="1"/>
        <s v="MIS Decommission : Historical Data Migration analysis - Building" u="1"/>
        <s v="MIS Decom: (Farmers) Add 7 new elements in Building Domain ( Only for Active loans) - PI-10" u="1"/>
        <s v="MIS Refactoring - Re-Assembly – MortgageFunding_YYYYMMDD.csv.strip – Analysis- GRID Data Mapping" u="1"/>
        <s v="ADW Month End Position files erroring out at BRS" u="1"/>
        <s v="MIS Decom: Enrich the existing Data Domains PI-12" u="1"/>
        <s v="Use ReXML ARGUS file to extract in-place rents when importing in LMW (Spike - analysis only)?" u="1"/>
        <s v="MIS Decom: Compare the Loan Valuation daily file VS MIS Loan Valuation .xml daily file in Prod - PI 12" u="1"/>
        <s v="Office Remediation to use GroupDocs" u="1"/>
        <s v="LMW Veracode medium flaw remediation" u="1"/>
        <s v="MIS Decom: Publish Paid off Non REI Managed Loans - PI-11" u="1"/>
        <s v="IT Innovation : Data quality checks for Commitment domain - PI-10" u="1"/>
        <s v="MIS Refactoring - Re-Assembly – Development of LoanValuation xml feed" u="1"/>
        <s v="MIS Decom: Send Email to Business when the PII Encryption fails - PI-10" u="1"/>
        <s v="CLS Date synch job on re-run is updating the business date to next business date" u="1"/>
        <s v="MIS Decom : Apply domain mapping translation on field InterestRateResetFrequencyCode in LoanAsset-&gt;InterestRateSchedule node " u="1"/>
        <s v="Loans can not fund without being rate locked" u="1"/>
        <s v="MIS Decom: Reassemble the Cash MISCom Amer feed file - PI-11" u="1"/>
        <s v="Consuming Interest Calc Type and Index proxy from Backshop NLS" u="1"/>
        <s v="Dashboard Page - &quot;Upcoming Deals&quot; Grid" u="1"/>
        <s v="Scrolling Enhancement on Deal Screener Page" u="1"/>
        <s v="MIS Decom: Place holder for Additional 10 elements - I - PI-10" u="1"/>
        <s v="MIS Decommission : Historical Data Migration analysis - Property" u="1"/>
        <s v="LMW Rating Issue long term fix avoid property mapping for CMG loans" u="1"/>
        <s v="MIS Refactoring: Re-assemble BHF Daily(Delta) Mortgage Funding File from Data Lake using IDC API  " u="1"/>
        <s v="MIS Refactoring - Re-Assembly – ME_AllMortgageFunding_YYYYMMDD.csv.strip – Analysis- GRID Data Mapping" u="1"/>
        <s v="MIS Refactoring: Include Property Other valuation at Asset Level" u="1"/>
        <s v="MIS Decom: Compare and fix variances in MET_CML.25936.csv file - PI 12" u="1"/>
        <s v="MIS Decom: Exclude CMBS loans and loans mapped to Non-EDM portfolios from publishing into JSON data domains (Placeholder only) - PI-11" u="1"/>
        <s v="MIS Decommission : Historical Data Migration analysis -AmSchedule" u="1"/>
        <s v="Data 360 :  Farmers - Positions (funded and unfunded) data availability in Data Lake (Spike-Analysis)" u="1"/>
        <s v="MIS Decom: Enrich loan Price Data Domain by adding PriceInterpolatedTreasuryRate &amp; PriceCreditSpread  fields - PI 12" u="1"/>
        <s v="MIS Decom: Expand the field size of REIMarketAreaTierCode In Property and Building domain to publish value up to 60 characters - PI-10" u="1"/>
        <s v="Required Rate Lock fields" u="1"/>
        <s v="Select All - Parameter Enhancement" u="1"/>
        <s v="MIS Refactoring - Enhance Property  JSON" u="1"/>
        <s v="CLS Bulk Journal Upload Portfolio Validation " u="1"/>
        <s v="Automate Title Document to decomission HotDocs" u="1"/>
        <s v="MIS Refactoring - Re-Assembly – Development of LoanPosition xml feed" u="1"/>
        <s v="MIS Refactoring: Re-assemble Month End Loan Position File from Data Lake using IDC API" u="1"/>
        <s v="Innovation – Centralized Logging for Digital and MIS Refactor API for End to End tracking." u="1"/>
        <s v="CI/CD PBI Enablement" u="1"/>
        <s v="Calculation of simple SOFR" u="1"/>
        <s v="CLS - Backdated transaction" u="1"/>
        <s v="Mandate name on Deal Screening Page" u="1"/>
        <s v="Issue when SI/Si2 loans and TI loans with same property is boarded" u="1"/>
        <s v="LMW Office Components - Remaining Work" u="1"/>
        <s v="MIS Decom: Compare the MET_CML.25936.csv  file VS MIS MET_CML.25936.csv file in Prod - PI 12" u="1"/>
        <s v="MIS Decom: Compare the Loan Valuation ME file VS MIS Loan Valuation .xml ME file in Prod - PI 12" u="1"/>
        <s v="MIS Decom: Compare the Daily_holdings_homesteaders.csv file VS MIS Daily_holdings_homesteaders.csv file in Prod - PI 12" u="1"/>
        <s v="Consume the 4th ESG field from Backshop ( Only for Active loans)" u="1"/>
        <s v="MIS Decom: Compare and fix variances in LoanCommCommitPosition file - PI 12" u="1"/>
        <s v="MIS Decom - Commercial MIM Clients Feed  Support for MIM Connect and Data Grid API team. - PI-10" u="1"/>
        <s v="EDGE - Livelink upgrade to 20.4" u="1"/>
        <s v="Expression Results: Values with T/F" u="1"/>
        <s v="MIS Decommission : Historical Data Migration analysis -AssetPerformance" u="1"/>
        <s v="Parameter Creation Optionality" u="1"/>
        <s v="CLS CECL: Consider processed IATs in reversal process" u="1"/>
        <s v="MIS Decom: Address the mismatch values identified in Loan Position feed file-PI-11" u="1"/>
        <s v="MIS Decom: (Farmers) Add 7 new elements in Building Domain ( Only for Active loans) " u="1"/>
        <s v="MIS Decom: Compare the BHF Trade_BHF_Prepay_LOAN.xml file VS MIS trades_BHF_LOAN.xml file in Prod - PI 12" u="1"/>
        <s v="MIS Decom: Compare and fix variances in BHF Daily - MortgageFunding_YYYYMMDD.csv.strip file Phase 2 - PI-12 " u="1"/>
        <s v="Performance - Client Page Loading Lag" u="1"/>
        <s v="RESI : Subledger Trans report enhancement" u="1"/>
        <s v="MIS Decom: Send Email to Business when the PII Encryption fails - PI-11" u="1"/>
        <s v="Co-tenant: Add a pop up window to the &quot;Notify Co-Tenant Liaisons&quot; button" u="1"/>
        <s v="Power BI : Operations  --&gt; Operations  --&gt; Mortgage Holding Report build" u="1"/>
        <s v="MIS Decom: Post Prod Validation for Reassembling MIS Feeds through Data lake." u="1"/>
        <s v="CECL Enhancement adding 4 decimal places for BP for BP on Preview and Trend Report" u="1"/>
        <s v="MIS Decom - Data Difference for LoanCashflow Daily for the Feed generator and MIS xml - PI-10" u="1"/>
        <s v="MIS Decom - Data Difference for  Loan Position Daily and Monthly for the COML Feed generator and MIS PI-10" u="1"/>
        <s v="MIM Screen does not have an update button " u="1"/>
        <s v="MIS : Income Projections missing CML loans " u="1"/>
        <s v="Retrieve Firm Production Date from Backshop during NLS" u="1"/>
        <s v="Cosmetic fixes to Backshop screens due to Code Merge (vendor)" u="1"/>
        <s v="IT Innovation Develop new Portal for Fields Mapping (Innovation) - PI-12 " u="1"/>
        <s v="MIS Refactoring - Re-Assembly – Cash_BHF_LOAN.xml – Analysis- GRID Data Mapping" u="1"/>
        <s v="Issues with Covenant Tasks Auto Completing" u="1"/>
        <s v="Add SOFR Projections to Admin (Repurpose the Libor Projections in Admin)" u="1"/>
        <s v="MIS Decommission : Historical Data Migration analysis - LoanUnscheduledincome" u="1"/>
        <s v="Data script to map all Netherland cities and states to the REI Market Area &quot;Netherlands&quot;" u="1"/>
        <s v="MIS Decom - Testing and Deployment Grid API for Loan transaction delivering the file to Downstream- PI-11" u="1"/>
        <s v="EDGE Browser - REIOS-AG Remaining Items" u="1"/>
        <s v="MSAS Edge Browser Remaining Pop up issues" u="1"/>
        <s v="MIS : Consume Spread from CLS/LMW in to MIS Price Report" u="1"/>
        <s v="MIS Decommission : Historical Data Migration analysis - BeneficialBorrower" u="1"/>
        <s v="MIS Decomm: Reassemble BHF Trade Loan feed File from Data Lake using DALFI - PI-11" u="1"/>
        <s v="MIS Refactoring: Re-assemble Loan Valuation Daily and ME Files from Data Lake using IDC API" u="1"/>
        <s v="CLS - Open and close companies Check Box" u="1"/>
        <s v="LMW Office Components - Remaining Packages " u="1"/>
        <s v="Mortgage Re-transfer Enhancements b/w CLS, MSAS &amp; TEBOW" u="1"/>
        <s v="AG : EDM - DG#1387 - COML/AG - LIBOR to SOFR LoanAsset Change in the JSON File" u="1"/>
        <s v="Enhancement - Hyperlink" u="1"/>
        <s v="LMW - Update to Loan Provisions Post Closing Grid" u="1"/>
        <s v="MIS Decom: Compare the Loan Position ME file VS MIS Loan Poistion.xml ME file in Prod - PI 12" u="1"/>
        <s v="MIS Decom: Compare the Loan Transaction file VS MIS Loan Transaction.xml file in Prod - PI 12" u="1"/>
        <s v="Market Preferability - Rule" u="1"/>
        <s v="AG Digital Portal UAT integration - Non Release" u="1"/>
        <s v="Data 360 : Identify report field names from 360" u="1"/>
        <s v="MIS Decom: Compare and fix variances in BHF Trades_BHF_LOAN.xml file - PI 12" u="1"/>
        <s v="MIS Decom - Integration with Grid API for Daily Loan commitment Position and delivering the file to Downstream- PI-10" u="1"/>
        <s v="PI-11 Production Support" u="1"/>
        <s v="CLS : Updates to BHF ADW Extract, Calendar Date" u="1"/>
        <s v="System Generated Parameter Override - Database Design" u="1"/>
        <s v="CLS CECL balance process timing flexibility beyond BD2" u="1"/>
        <s v="AG :  AG Servicer Migration in MIS from Midland to CBRE" u="1"/>
        <s v="MIS : Enhance Market Value - SharePoint Excel upload enhancement" u="1"/>
        <s v="MIS Refactoring - Develop Asset API - (MIS and REIOS XML) - Reports fields - OCT" u="1"/>
        <s v="MIS Refactoring - Re-Assembly – Trades_BHF_UNFUND_LOAN.xml – Analysis- GRID Data Mapping " u="1"/>
        <s v="MIS Decom: Compare the LoanCommCommitPosition file VS MISLoanCommCommitPosition.xml Daily file in Prod - PI 12" u="1"/>
        <s v="RESI: Period zero insert for PI-11" u="1"/>
        <s v="Update Workflow Step screen to add HOTEL_FUND to the green text" u="1"/>
        <s v="SFTP Servicer Update - CLS/LMW" u="1"/>
        <s v="MIS Refactoring - Re-Assembly – ME_LoanPosition.xml - Define mappings for IDC" u="1"/>
        <s v="MIS Decom:  Testing &amp; Deployment of the reversal transactions in the transaction JSON file -  PI-11" u="1"/>
        <s v="Projections Table Enhancements" u="1"/>
        <s v="Updates to BHF ADW Extract, Calendar Date" u="1"/>
        <s v="MIS Decommission : Historical Data Migration analysis - Loan Price" u="1"/>
        <s v="MIS Decom: Compare and fix variances in Loan Valuation ME file  - PI 12" u="1"/>
        <s v="Validation Needed to make sure 0 tracts is no allowed in MSAS - PR1273460" u="1"/>
        <s v="Add additional property-level fields for NGBS and Green Globes in Backshop" u="1"/>
        <s v="MIS- Refactoring - Month End Loan Asset - Include Logic for Principal Balance Outstanding ( PBO) field" u="1"/>
        <s v="MIS Decom: Fix any data variances in the BHF files Vs MIS XML - PI-11" u="1"/>
        <s v="Impact Analysis - Publish Metlife Party ID in Loan Asset Master Data Domain" u="1"/>
        <s v=".Net 5 Upgrade" u="1"/>
        <s v="Mapping REI Market Area for Japan Cities" u="1"/>
        <s v="Add Option Adjusted A Rated Spread to Datacube" u="1"/>
        <s v="Update Allocation Screen in Backshop to include Syndication for Management View" u="1"/>
        <s v="MIS Decom: Test and Deployment of InterestRate precision from 2 to 6 decimal points in the Asset Master Data domain - PI-11" u="1"/>
        <s v="CT Enablement Phase 2 Configuration" u="1"/>
        <s v="MIS Refactoring - Enhance Property Valuation JSON" u="1"/>
        <s v="Power BI : Decrypt PII data present in Power BI Reports" u="1"/>
        <s v="MIS Refactoring: Re-assemble BHF Daily Trade File from Data Lake using IDC API" u="1"/>
        <s v="New API -  from .NET Core 3.2 to .NET 5.0 Upgrade (Digital Portal and MIS Refactor impact) - Analysis" u="1"/>
        <s v="Exclude CMBS loans and loans mapped to Non-EDM portfolios from publishing into JSON data domains PI-10" u="1"/>
        <s v="MIS Decom: Compare the Daily_holdings_hanover.csv file VS MIS Daily_holdings_hanover.csv file in Prod - PI 12" u="1"/>
        <s v="Update the LMW to MIS feed and the Loan Header to capture the LTV and Base Year DSCR from the Non-REI Manage screen" u="1"/>
        <s v="SSO Implementation for External Apps" u="1"/>
        <s v="LMW Office Components - Remaining Packages" u="1"/>
        <s v="MSI Refactoring - Loan Transaction Enhancements" u="1"/>
        <s v="MIS Decom: Compare and fix variances in BHF ME - MortgageFunding_YYYYMMDD.csv.strip - Delta file  - PI 12" u="1"/>
        <s v="MIM Screen Enhancements" u="1"/>
        <s v="Add Sponsor to LMW and Cube" u="1"/>
        <s v="Stop Quote Expiration after Signed Application" u="1"/>
        <s v="Assign SAC Code for Non-REI managed loans in LMW" u="1"/>
        <s v="Data 360 : AVIVA Price feed for Regulatory Reporting" u="1"/>
        <s v="MIM AIC Separation - Migrate Index Base Load job from LMW to CLS" u="1"/>
        <s v="MIS Decom - Data Difference for Loan Price for the Feed generator PI-10" u="1"/>
        <s v="MIS Refactoring - Re-Assembly – LoanTransactions.xml - Define mappings for IDC" u="1"/>
        <s v="MIS Decom: Plan for handling TEBOW sourced transactions in Loan Transaction JSON - PI-11" u="1"/>
        <s v="SOFR Rates not editable when LOAN ID entered." u="1"/>
        <s v="MIS Decom: Perform pending activities for the July 21 release - PI-10" u="1"/>
        <s v="MIS Decom : Enrich Loan Price domain to publish PricingMethodCode - PI-10" u="1"/>
        <s v="MIS Decom: Reassemble BHF Cash Loan feed File from Data Lake using DALFI - PI-11" u="1"/>
        <s v="RESI : MIS : To update company name based on company code during Month end process" u="1"/>
        <s v="MIS Decom:  Enhance the Asset Master data domain to include 4 new fields(SOFR/SONIA) - PI-11" u="1"/>
        <s v="MIS Decom: Compare the BHF Cash_BHF_LOAN.xml file VS MIS Cash_BHF_LOAN.xml file in Prod - PI 12" u="1"/>
        <s v="AGI Digital Service/MSAS/REIOS Web APIs - Upgrade from .NET Core 2.1 to .NET 5.0 Upgrade (Digital Portal and MIS Refactor impact)" u="1"/>
        <s v="Irrigation supplement PDF displaying special character instead of ‘ (apostrophe)-PR1157067" u="1"/>
        <s v="GroupDocs" u="1"/>
        <s v="Dashboard Report of MIM Status" u="1"/>
        <s v="MIS Refactoring: Re-assemble BHF Daily Unfunded Trade File from Data Lake using IDC API" u="1"/>
        <s v="MIS Refactoring – Asset Daily and   Month end  data business validation" u="1"/>
        <s v="Add SOFR Projections to Admin" u="1"/>
        <s v="GenRocket POC for test data creation" u="1"/>
        <s v="Remove rule that requires property appraisal fields required for allocation request" u="1"/>
        <s v="MIS Decommission : Historical Data Migration analysis - UnfundedCommitmentFundingSCHD" u="1"/>
        <s v="MIS Decom - Commercial MIM Clients Feed  Support for MIM Connect and Data Grid API team. - PI-11 (IT-Only)" u="1"/>
        <s v="Patriot Act Form Changes" u="1"/>
        <s v="Held For Sale in CLS - MIM CM Syndicator LLC" u="1"/>
        <s v="Power BI : Exposure --&gt; Tenant Search report build" u="1"/>
        <s v="Power BI : Investor Reports --&gt; Price report build" u="1"/>
        <s v="Power BI : Commercial Reports --&gt; Market Value by Company Detail report build" u="1"/>
        <s v="AG Digital Portal PII – Asset Fields (Description)" u="1"/>
        <s v="MIM Screen does not have an update button (vendor)" u="1"/>
        <s v="Update MSAS calendar holidays and make them same as SIFMA calendar from MarkIT" u="1"/>
        <s v="MIS Decom: Compare and fix variances in BHF Trade_BHF_Prepay_LOAN.xml file - PI 12" u="1"/>
        <s v="RIC Committee Date Field Update (vendor)" u="1"/>
        <s v="Investor summary missing Common Borrower for Loanid - 202014" u="1"/>
        <s v="MIS Decom: Compare and fix variances in Loan Transaction file - PI 12" u="1"/>
        <s v="MIS Refactoring: Re-assemble Loan Position File from Data Lake using IDC API" u="1"/>
        <s v="LMW Office Components" u="1"/>
        <s v="Inspection Company Update " u="1"/>
        <s v="Enhance SignNow Workflow in Backshop" u="1"/>
        <s v="Add Debt Yield Y1 - Pool Level to the LMW cube for BHF reporting" u="1"/>
        <s v="Migrate existing Servicer &quot;Midland&quot; loans to the new Servicer &quot;CBRE&quot;" u="1"/>
        <s v="MIS Refactoring: Re-assemble Loan Transaction File from Data Lake using IDC API" u="1"/>
        <s v="MIS Decom: Add Income Projection Id in LoanUnScheduledIncome Data Domain - PI-11" u="1"/>
        <s v="Power BI : Loan Maturity Report " u="1"/>
        <s v="Power BI : Net Change Summary report build" u="1"/>
        <s v="System Generated Parameter Override for all Expression Results" u="1"/>
        <s v="Make Energy Star and LEED BREEAM fields required to close a deal" u="1"/>
        <s v="MIS Decom: Rename ScheduleEntryDate field to ScheduleDate in Asset Master Data Domain - PI-10" u="1"/>
        <s v="SOFR - Additional 3 or 4 more SOFR Fwd looking indicies need to be read into MSAS/REIOS from MarkIT" u="1"/>
        <s v="Interest Rate Reset Issue" u="1"/>
        <s v="MIS : ASPOSE DevOps support" u="1"/>
        <s v="BHF: Unfunded Commitment Changes" u="1"/>
        <s v="Dashboard Page - &quot;New Clients&quot; Grid" u="1"/>
        <s v="CLS Veracode medium flaw remediation" u="1"/>
        <s v="MIM AIC Separation - Additional Analysis on shared modules" u="1"/>
        <s v="MIS Decommission : Historical Data Migration analysis - Loan Rating" u="1"/>
        <s v="Add Firm Production Date to Commitment Asset Delivery Table and to LMW during NLS" u="1"/>
        <s v="MIS Decom: Compare the LoanCashFlow file VS MIS LoanCashFlow file in Prod - PI 12" u="1"/>
        <s v="MIS Decom: Compare the BHF Trades_BHF_UNFUND_LOAN.xml file VS MIS Trades_BHF_UNFUND_LOAN.xml file in Prod - PI 12" u="1"/>
        <s v="Add a &quot;Post-Closing Allocation&quot; section on the Loan Allocation screen to be used in all feeds and notifications for future fundings after the loan closes" u="1"/>
        <s v="CT Enablement" u="1"/>
        <s v="MIS Decom: Analysis : Cash MISCOM AMER feed file - PI-11" u="1"/>
        <s v="MIS Decom: Analysis : Cash MISCOM APAC feed file - PI-11" u="1"/>
        <s v="MIS Decom: Analysis : Cash MISCOM EMEA feed file - PI-11" u="1"/>
        <s v="AG : EDM - DG#1387 - COML/AG - LIBOR to SOFR LoanAsset Change" u="1"/>
        <s v="Add Option Adjusted A Rated Spread to Backshop Note Screen (vendor)" u="1"/>
        <s v="MIST Data Batch Update" u="1"/>
        <s v="Add Future Funding Expiration Date to LMW" u="1"/>
        <s v="EDGE Browser - MSAS Remaining Items (except rich textbox)" u="1"/>
        <s v="Change the order of get SP for Libor rate issue -PR1273036" u="1"/>
        <s v="Data 360 :  Farmers - &quot;Positions - Funded/Unfunded data availability in Data Lake " u="1"/>
        <s v="MIS Decom: Additional exchange rate calculation for ‘ALICO_Exceptional_Portfolio’ impacting values of Base/Portfolio columns (Position XML Vs JSON) - PI-10" u="1"/>
        <s v="Data Feed from CLS to BNY for Hotel Debt Fund" u="1"/>
        <s v="Deal Screener - Expression Results - Null Values" u="1"/>
        <s v="MIS Decom: Add a new data element &quot;allocation date&quot;  in Loan Asset JSON file PI-10" u="1"/>
        <s v="MIS Decom: Compare the BHF Daily - MortgageFunding_YYYYMMDD.csv.strip file VS Daily - MortgageFunding_YYYYMMDD.csv.strip file in Prod - PI-12" u="1"/>
        <s v="Equity Workspace Application upgrade to .NET 5.0 - PI-12" u="1"/>
        <s v="Power BI : Operations  --&gt; Beneficial Borrower Report build" u="1"/>
        <s v="MIS Refactoring - Re-Assembly – LoanPosition.xml - Define mappings for IDC" u="1"/>
        <s v="MIS Decom - Analysis and Development with Grid API for Loan transaction delivering the file to Downstream- PI-10" u="1"/>
        <s v="Upgrade of Neevia - DCPro 7.2" u="1"/>
        <s v="Colend Rotation - Rotation List" u="1"/>
        <s v="Scrolling Enhancement on Distribution Page" u="1"/>
        <s v="Make property appraisal fields required for allocation request" u="1"/>
        <s v="Add additional building-level fields for NGBS and Green Globes in LMW" u="1"/>
        <s v="MIS Decom: Compare and fix variances in  Loan Valuation daily file - PI 12" u="1"/>
        <s v="MIS Decom: Compare and fix variances in BHF Cash_BHF_LOAN.xml file - PI 12" u="1"/>
        <s v="MIS Decom - Fix any data variances in the Loan Transactions Vs MIS XML file - PI-11" u="1"/>
        <s v="Create a new role for Reporting and Finance with out having Borrowers and Contacts Menu" u="1"/>
        <s v="PCR Under Review doesn't stop counting" u="1"/>
        <s v="Investor Summary-Common Borrower Exposure Issue" u="1"/>
        <s v="MIS Decommission : Historical Data Migration analysis - Loan Transaction" u="1"/>
        <s v="Kevin Harshberger reported issues with Covenants and Task lists -PR1213482 " u="1"/>
        <s v="MIS Refactoring - Re-Assembly – Development of LoanValuation xml feed - CONTD" u="1"/>
        <s v="MIS Refactoring - Validate Month End Loan Position API - Publish JSON (MIS XML)" u="1"/>
        <s v="MIS Decom: Compare and fix variances in BHF Daily - MortgageFunding_YYYYMMDD.csv.strip file - PI-12" u="1"/>
        <s v="MIS Decom: Compare the BHF Trades_BHF_LOAN.xml file VS MIS Trades_BHF_LOAN.xml file in Prod - PI 12" u="1"/>
        <s v="MIS Decom: Compare the Loan Position Daily file VS MIS Loan Poistion.xml Daily file in Prod - PI 12" u="1"/>
        <s v="CM Rating Changes" u="1"/>
        <s v="Performance - Deal Screener Lag" u="1"/>
        <s v="Expression Results: Values with Decimal Places" u="1"/>
        <s v="Pay-off CMBS High Yield Loans (“70” series loans) from back end " u="1"/>
        <s v="Whole Loan Rotation" u="1"/>
        <s v="VCLS_BHFADW_SM_FEED - Internally failed" u="1"/>
        <s v="MIS Decom: Compare  and fix variances in LoanCashFlow file - PI 12" u="1"/>
        <s v="MIS Decom: Compare and fix variances in Daily_holdings_homesteaders.csv file - PI 12" u="1"/>
        <s v="MIS Decom: Reassemble BHF ME Mortgage Funding File from Data Lake using DALFI - PI-11" u="1"/>
        <s v="MIS Decom : Publish new data domain 'LoanUnScheduledIncomes' to support Income Projection - PI-10" u="1"/>
        <s v="MIS Decom: IT Innovation : Testing and deployment of data quality validation in Commitment domain - PI-11" u="1"/>
        <s v="MIS Decom: Requirement Analysis for Enhance functionality for commitment loans in Building Domain - PI-11" u="1"/>
        <s v="Power BI : Investor Reports --&gt; Critical Fields report build" u="1"/>
        <s v="MIS Refactoring: Re-assemble BHF Daily Cash File from Data Lake using IDC API" u="1"/>
        <s v="MIS Decom: Compare the BHF ME - MortgageFunding_YYYYMMDD.csv.strip - Delta file VS MIS ME - MortgageFunding_YYYYMMDD.csv.strip - Delta file in Prod - PI 12" u="1"/>
      </sharedItems>
    </cacheField>
    <cacheField name="Work Item Type" numFmtId="0">
      <sharedItems containsNonDate="0" containsString="0" containsBlank="1"/>
    </cacheField>
    <cacheField name="Assigned To" numFmtId="0">
      <sharedItems containsNonDate="0" containsString="0" containsBlank="1"/>
    </cacheField>
    <cacheField name="WSJF" numFmtId="0">
      <sharedItems containsNonDate="0" containsString="0" containsBlank="1"/>
    </cacheField>
    <cacheField name="Business Value" numFmtId="0">
      <sharedItems containsString="0" containsBlank="1" containsNumber="1" containsInteger="1" minValue="4" maxValue="8"/>
    </cacheField>
    <cacheField name="Effort" numFmtId="0">
      <sharedItems containsString="0" containsBlank="1" containsNumber="1" containsInteger="1" minValue="1" maxValue="5"/>
    </cacheField>
    <cacheField name="Size" numFmtId="0">
      <sharedItems containsString="0" containsBlank="1" containsNumber="1" containsInteger="1" minValue="5" maxValue="25"/>
    </cacheField>
    <cacheField name="Rem Effort" numFmtId="0">
      <sharedItems containsString="0" containsBlank="1" containsNumber="1" containsInteger="1" minValue="0" maxValue="4"/>
    </cacheField>
    <cacheField name="Remaining Size" numFmtId="0">
      <sharedItems containsString="0" containsBlank="1" containsNumber="1" containsInteger="1" minValue="0" maxValue="20"/>
    </cacheField>
    <cacheField name="Target Date" numFmtId="0">
      <sharedItems containsNonDate="0" containsDate="1" containsString="0" containsBlank="1" minDate="2021-12-11T00:00:00" maxDate="2022-02-09T00:00:00"/>
    </cacheField>
    <cacheField name="State" numFmtId="0">
      <sharedItems containsBlank="1"/>
    </cacheField>
    <cacheField name="Commit" numFmtId="0">
      <sharedItems containsBlank="1"/>
    </cacheField>
    <cacheField name="Category" numFmtId="0">
      <sharedItems containsBlank="1" count="57">
        <s v="Power BI"/>
        <s v="Data360"/>
        <s v="Decom"/>
        <m/>
        <s v="BAU"/>
        <s v="Innovation"/>
        <s v="Argus" u="1"/>
        <s v="Data365" u="1"/>
        <s v="Client Reporting" u="1"/>
        <s v="Enhancements; MIST; PI-12" u="1"/>
        <s v=" Digital" u="1"/>
        <s v="OWS" u="1"/>
        <s v=" FARMERS" u="1"/>
        <s v="TEBOW" u="1"/>
        <s v=" AVIVA" u="1"/>
        <s v="Tech Debt" u="1"/>
        <s v="InvestmentTypeClassification" u="1"/>
        <s v=" NLS" u="1"/>
        <s v="SOFR" u="1"/>
        <s v="MIM-AIC" u="1"/>
        <s v="Servicer" u="1"/>
        <s v="Inovation" u="1"/>
        <s v="Portal" u="1"/>
        <s v="Co-Tenancy" u="1"/>
        <s v="Non-REI" u="1"/>
        <s v="Decom/Digital" u="1"/>
        <s v="BHF" u="1"/>
        <s v="SOFR/SONIA" u="1"/>
        <s v="Data 360" u="1"/>
        <s v="Compliance" u="1"/>
        <s v=" Innovation" u="1"/>
        <s v="HotDocs" u="1"/>
        <s v="Office Remediation" u="1"/>
        <s v="SignNow" u="1"/>
        <s v="Digital" u="1"/>
        <s v="CECL" u="1"/>
        <s v=" RESI" u="1"/>
        <s v="Reporting" u="1"/>
        <s v="Data Integrity" u="1"/>
        <s v="MIM" u="1"/>
        <s v="Support" u="1"/>
        <s v="RESI" u="1"/>
        <s v="Data361" u="1"/>
        <s v=" ALTERYX" u="1"/>
        <s v="No category in tags" u="1"/>
        <s v="Data362" u="1"/>
        <s v="HDF" u="1"/>
        <s v="AG Servicer" u="1"/>
        <s v="Data363" u="1"/>
        <s v="PowerBI" u="1"/>
        <s v="Market Value ATX" u="1"/>
        <s v=" Power BI" u="1"/>
        <s v="NLS" u="1"/>
        <s v=" Performance" u="1"/>
        <s v="Income Projections" u="1"/>
        <s v="Data364" u="1"/>
        <s v="Held For Sale" u="1"/>
      </sharedItems>
    </cacheField>
    <cacheField name="Team" numFmtId="0">
      <sharedItems containsBlank="1" count="8">
        <s v="H"/>
        <m/>
        <s v="IM"/>
        <s v="CA" u="1"/>
        <s v="V" u="1"/>
        <s v="T" u="1"/>
        <s v="I" u="1"/>
        <s v="TB"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subramanian, Jagadeesan" refreshedDate="44568.553452430555" createdVersion="6" refreshedVersion="6" minRefreshableVersion="3" recordCount="40" xr:uid="{785ADFDF-ACB8-48A9-AE03-2C926E6A7C76}">
  <cacheSource type="worksheet">
    <worksheetSource ref="B2:AD63" sheet="PI Commitments"/>
  </cacheSource>
  <cacheFields count="25">
    <cacheField name="ID" numFmtId="0">
      <sharedItems containsBlank="1" containsMixedTypes="1" containsNumber="1" containsInteger="1" minValue="368434" maxValue="471077"/>
    </cacheField>
    <cacheField name="Title" numFmtId="0">
      <sharedItems containsBlank="1"/>
    </cacheField>
    <cacheField name="Work Item Type" numFmtId="0">
      <sharedItems containsNonDate="0" containsString="0" containsBlank="1"/>
    </cacheField>
    <cacheField name="Assigned To" numFmtId="0">
      <sharedItems containsNonDate="0" containsString="0" containsBlank="1"/>
    </cacheField>
    <cacheField name="WSJF" numFmtId="0">
      <sharedItems containsNonDate="0" containsString="0" containsBlank="1"/>
    </cacheField>
    <cacheField name="Business Value" numFmtId="0">
      <sharedItems containsString="0" containsBlank="1" containsNumber="1" containsInteger="1" minValue="4" maxValue="8"/>
    </cacheField>
    <cacheField name="Effort" numFmtId="0">
      <sharedItems containsString="0" containsBlank="1" containsNumber="1" containsInteger="1" minValue="1" maxValue="5"/>
    </cacheField>
    <cacheField name="Size" numFmtId="0">
      <sharedItems containsString="0" containsBlank="1" containsNumber="1" containsInteger="1" minValue="5" maxValue="25"/>
    </cacheField>
    <cacheField name="Rem Effort" numFmtId="0">
      <sharedItems containsString="0" containsBlank="1" containsNumber="1" containsInteger="1" minValue="0" maxValue="4"/>
    </cacheField>
    <cacheField name="Remaining Size" numFmtId="0">
      <sharedItems containsString="0" containsBlank="1" containsNumber="1" containsInteger="1" minValue="0" maxValue="20"/>
    </cacheField>
    <cacheField name="Target Date" numFmtId="0">
      <sharedItems containsNonDate="0" containsDate="1" containsString="0" containsBlank="1" minDate="2021-12-11T00:00:00" maxDate="2022-02-09T00:00:00"/>
    </cacheField>
    <cacheField name="State" numFmtId="0">
      <sharedItems containsBlank="1"/>
    </cacheField>
    <cacheField name="Commit" numFmtId="0">
      <sharedItems containsBlank="1"/>
    </cacheField>
    <cacheField name="Category" numFmtId="0">
      <sharedItems containsBlank="1" count="21">
        <s v="Power BI"/>
        <s v="Data360"/>
        <s v="Decom"/>
        <m/>
        <s v="BAU"/>
        <s v="Innovation"/>
        <s v="Argus" u="1"/>
        <s v="OWS" u="1"/>
        <s v="TEBOW" u="1"/>
        <s v="Tech Debt" u="1"/>
        <s v="InvestmentTypeClassification" u="1"/>
        <s v="SOFR" u="1"/>
        <s v="MIM-AIC" u="1"/>
        <s v="Decom/Digital" u="1"/>
        <s v="BHF" u="1"/>
        <s v="SOFR/SONIA" u="1"/>
        <s v="Compliance" u="1"/>
        <s v="CECL" u="1"/>
        <s v="Reporting" u="1"/>
        <s v="MIM" u="1"/>
        <s v="Support" u="1"/>
      </sharedItems>
    </cacheField>
    <cacheField name="Team" numFmtId="0">
      <sharedItems containsBlank="1"/>
    </cacheField>
    <cacheField name="Start in " numFmtId="0">
      <sharedItems containsString="0" containsBlank="1" containsNumber="1" containsInteger="1" minValue="1" maxValue="4"/>
    </cacheField>
    <cacheField name="Deliver in" numFmtId="0">
      <sharedItems containsString="0" containsBlank="1" containsNumber="1" containsInteger="1" minValue="1" maxValue="5"/>
    </cacheField>
    <cacheField name="Duration" numFmtId="0">
      <sharedItems containsString="0" containsBlank="1" containsNumber="1" containsInteger="1" minValue="0" maxValue="5"/>
    </cacheField>
    <cacheField name="S1" numFmtId="0">
      <sharedItems containsString="0" containsBlank="1" containsNumber="1" minValue="0" maxValue="10"/>
    </cacheField>
    <cacheField name="S2" numFmtId="1">
      <sharedItems containsString="0" containsBlank="1" containsNumber="1" minValue="0" maxValue="7.5"/>
    </cacheField>
    <cacheField name="S3" numFmtId="1">
      <sharedItems containsString="0" containsBlank="1" containsNumber="1" minValue="0" maxValue="15"/>
    </cacheField>
    <cacheField name="S4" numFmtId="1">
      <sharedItems containsString="0" containsBlank="1" containsNumber="1" minValue="0" maxValue="10"/>
    </cacheField>
    <cacheField name="S5" numFmtId="1">
      <sharedItems containsString="0" containsBlank="1" containsNumber="1" minValue="0" maxValue="10"/>
    </cacheField>
    <cacheField name="% Complete" numFmtId="0">
      <sharedItems containsString="0" containsBlank="1" containsNumber="1" minValue="0" maxValue="1"/>
    </cacheField>
    <cacheField name="Actual Business Value" numFmtId="0">
      <sharedItems containsString="0" containsBlank="1"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subramanian, Jagadeesan" refreshedDate="44568.553452777778" createdVersion="6" refreshedVersion="6" minRefreshableVersion="3" recordCount="40" xr:uid="{C5DAA829-3357-454B-B916-19DF703C1ADC}">
  <cacheSource type="worksheet">
    <worksheetSource ref="B2:AD63" sheet="PI Commitments"/>
  </cacheSource>
  <cacheFields count="25">
    <cacheField name="ID" numFmtId="0">
      <sharedItems containsBlank="1" containsMixedTypes="1" containsNumber="1" containsInteger="1" minValue="368434" maxValue="471077"/>
    </cacheField>
    <cacheField name="Title" numFmtId="0">
      <sharedItems containsBlank="1"/>
    </cacheField>
    <cacheField name="Work Item Type" numFmtId="0">
      <sharedItems containsNonDate="0" containsString="0" containsBlank="1"/>
    </cacheField>
    <cacheField name="Assigned To" numFmtId="0">
      <sharedItems containsNonDate="0" containsString="0" containsBlank="1"/>
    </cacheField>
    <cacheField name="WSJF" numFmtId="0">
      <sharedItems containsNonDate="0" containsString="0" containsBlank="1"/>
    </cacheField>
    <cacheField name="Business Value" numFmtId="0">
      <sharedItems containsString="0" containsBlank="1" containsNumber="1" containsInteger="1" minValue="4" maxValue="8"/>
    </cacheField>
    <cacheField name="Effort" numFmtId="0">
      <sharedItems containsString="0" containsBlank="1" containsNumber="1" containsInteger="1" minValue="1" maxValue="5"/>
    </cacheField>
    <cacheField name="Size" numFmtId="0">
      <sharedItems containsString="0" containsBlank="1" containsNumber="1" containsInteger="1" minValue="5" maxValue="25"/>
    </cacheField>
    <cacheField name="Rem Effort" numFmtId="0">
      <sharedItems containsString="0" containsBlank="1" containsNumber="1" containsInteger="1" minValue="0" maxValue="4"/>
    </cacheField>
    <cacheField name="Remaining Size" numFmtId="0">
      <sharedItems containsString="0" containsBlank="1" containsNumber="1" containsInteger="1" minValue="0" maxValue="20"/>
    </cacheField>
    <cacheField name="Target Date" numFmtId="0">
      <sharedItems containsNonDate="0" containsDate="1" containsString="0" containsBlank="1" minDate="2021-12-11T00:00:00" maxDate="2022-02-09T00:00:00"/>
    </cacheField>
    <cacheField name="State" numFmtId="0">
      <sharedItems containsBlank="1"/>
    </cacheField>
    <cacheField name="Commit" numFmtId="0">
      <sharedItems containsBlank="1"/>
    </cacheField>
    <cacheField name="Category" numFmtId="0">
      <sharedItems containsBlank="1" count="45">
        <s v="Power BI"/>
        <s v="Data360"/>
        <s v="Decom"/>
        <m/>
        <s v="BAU"/>
        <s v="Innovation"/>
        <s v="Argus" u="1"/>
        <s v=" Digital" u="1"/>
        <s v="OWS" u="1"/>
        <s v=" BHF" u="1"/>
        <s v=" FARMERS" u="1"/>
        <s v="TEBOW" u="1"/>
        <s v=" AVIVA" u="1"/>
        <s v="Tech Debt" u="1"/>
        <s v=" Prod Support" u="1"/>
        <s v="InvestmentTypeClassification" u="1"/>
        <s v=" NLS" u="1"/>
        <s v="SOFR" u="1"/>
        <s v="MIM-AIC" u="1"/>
        <s v="Co-Tenancy" u="1"/>
        <s v=" Data 360" u="1"/>
        <s v=" InvestmentTypeClassification" u="1"/>
        <s v="Decom/Digital" u="1"/>
        <s v=" Co-Tenancy" u="1"/>
        <s v=" Support" u="1"/>
        <s v="BHF" u="1"/>
        <s v=" BAU" u="1"/>
        <s v="SOFR/SONIA" u="1"/>
        <s v="Data 360" u="1"/>
        <s v="Compliance" u="1"/>
        <s v=" Innovation" u="1"/>
        <s v="Office Remediation" u="1"/>
        <s v="Hotel Debt Fund" u="1"/>
        <s v="Digital" u="1"/>
        <s v="CECL" u="1"/>
        <s v=" RESI" u="1"/>
        <s v="Reporting" u="1"/>
        <s v="Data Integrity" u="1"/>
        <s v="MIM" u="1"/>
        <s v="Support" u="1"/>
        <s v=" ALTERYX" u="1"/>
        <s v=" Tech Debt" u="1"/>
        <s v="HDF" u="1"/>
        <s v=" Power BI" u="1"/>
        <s v=" Performance" u="1"/>
      </sharedItems>
    </cacheField>
    <cacheField name="Team" numFmtId="0">
      <sharedItems containsBlank="1" count="9">
        <s v="H"/>
        <m/>
        <s v="IM"/>
        <s v="CA" u="1"/>
        <s v="V" u="1"/>
        <s v="T" u="1"/>
        <s v="M" u="1"/>
        <s v="I" u="1"/>
        <s v="TB" u="1"/>
      </sharedItems>
    </cacheField>
    <cacheField name="Start in " numFmtId="0">
      <sharedItems containsString="0" containsBlank="1" containsNumber="1" containsInteger="1" minValue="1" maxValue="4"/>
    </cacheField>
    <cacheField name="Deliver in" numFmtId="0">
      <sharedItems containsString="0" containsBlank="1" containsNumber="1" containsInteger="1" minValue="1" maxValue="5"/>
    </cacheField>
    <cacheField name="Duration" numFmtId="0">
      <sharedItems containsString="0" containsBlank="1" containsNumber="1" containsInteger="1" minValue="0" maxValue="5"/>
    </cacheField>
    <cacheField name="S1" numFmtId="0">
      <sharedItems containsString="0" containsBlank="1" containsNumber="1" minValue="0" maxValue="10"/>
    </cacheField>
    <cacheField name="S2" numFmtId="1">
      <sharedItems containsString="0" containsBlank="1" containsNumber="1" minValue="0" maxValue="7.5"/>
    </cacheField>
    <cacheField name="S3" numFmtId="1">
      <sharedItems containsString="0" containsBlank="1" containsNumber="1" minValue="0" maxValue="15"/>
    </cacheField>
    <cacheField name="S4" numFmtId="1">
      <sharedItems containsString="0" containsBlank="1" containsNumber="1" minValue="0" maxValue="10"/>
    </cacheField>
    <cacheField name="S5" numFmtId="1">
      <sharedItems containsString="0" containsBlank="1" containsNumber="1" minValue="0" maxValue="10"/>
    </cacheField>
    <cacheField name="% Complete" numFmtId="0">
      <sharedItems containsString="0" containsBlank="1" containsNumber="1" minValue="0" maxValue="1"/>
    </cacheField>
    <cacheField name="Actual Business Value" numFmtId="0">
      <sharedItems containsString="0" containsBlank="1" containsNumber="1" containsInteger="1" minValue="0"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461969"/>
    <x v="0"/>
    <m/>
    <m/>
    <m/>
    <n v="7"/>
    <n v="3"/>
    <n v="15"/>
    <n v="1"/>
    <n v="5"/>
    <d v="2021-12-28T00:00:00"/>
    <s v="New"/>
    <s v="Commit"/>
    <x v="0"/>
    <x v="0"/>
  </r>
  <r>
    <n v="461978"/>
    <x v="1"/>
    <m/>
    <m/>
    <m/>
    <n v="7"/>
    <n v="2"/>
    <n v="10"/>
    <n v="1"/>
    <n v="5"/>
    <d v="2021-12-28T00:00:00"/>
    <s v="New"/>
    <s v="Commit"/>
    <x v="1"/>
    <x v="0"/>
  </r>
  <r>
    <n v="461980"/>
    <x v="2"/>
    <m/>
    <m/>
    <m/>
    <n v="7"/>
    <n v="1"/>
    <n v="5"/>
    <n v="1"/>
    <n v="5"/>
    <d v="2021-12-28T00:00:00"/>
    <s v="New"/>
    <s v="Commit"/>
    <x v="1"/>
    <x v="0"/>
  </r>
  <r>
    <n v="461982"/>
    <x v="3"/>
    <m/>
    <m/>
    <m/>
    <n v="7"/>
    <n v="2"/>
    <n v="10"/>
    <n v="2"/>
    <n v="10"/>
    <d v="2021-12-18T00:00:00"/>
    <s v="New"/>
    <s v="Stretch"/>
    <x v="1"/>
    <x v="0"/>
  </r>
  <r>
    <n v="461983"/>
    <x v="4"/>
    <m/>
    <m/>
    <m/>
    <n v="7"/>
    <n v="3"/>
    <n v="15"/>
    <n v="3"/>
    <n v="15"/>
    <d v="2021-12-18T00:00:00"/>
    <s v="New"/>
    <s v="Stretch"/>
    <x v="1"/>
    <x v="0"/>
  </r>
  <r>
    <n v="461984"/>
    <x v="5"/>
    <m/>
    <m/>
    <m/>
    <n v="7"/>
    <n v="1"/>
    <n v="5"/>
    <n v="1"/>
    <n v="5"/>
    <d v="2021-12-28T00:00:00"/>
    <s v="New"/>
    <s v="Commit"/>
    <x v="1"/>
    <x v="0"/>
  </r>
  <r>
    <n v="461989"/>
    <x v="6"/>
    <m/>
    <m/>
    <m/>
    <n v="8"/>
    <n v="5"/>
    <n v="25"/>
    <n v="4"/>
    <n v="20"/>
    <d v="2021-12-18T00:00:00"/>
    <s v="New"/>
    <s v="Commit"/>
    <x v="1"/>
    <x v="0"/>
  </r>
  <r>
    <n v="461952"/>
    <x v="7"/>
    <m/>
    <m/>
    <m/>
    <n v="7"/>
    <n v="5"/>
    <n v="25"/>
    <n v="2"/>
    <n v="10"/>
    <d v="2022-01-15T00:00:00"/>
    <s v="New"/>
    <s v="Commit"/>
    <x v="2"/>
    <x v="0"/>
  </r>
  <r>
    <n v="461979"/>
    <x v="8"/>
    <m/>
    <m/>
    <m/>
    <n v="7"/>
    <n v="2"/>
    <n v="10"/>
    <n v="2"/>
    <n v="10"/>
    <d v="2022-01-15T00:00:00"/>
    <s v="New"/>
    <s v="Commit"/>
    <x v="0"/>
    <x v="0"/>
  </r>
  <r>
    <n v="461964"/>
    <x v="9"/>
    <m/>
    <m/>
    <m/>
    <n v="7"/>
    <n v="4"/>
    <n v="20"/>
    <n v="4"/>
    <n v="20"/>
    <d v="2022-01-22T00:00:00"/>
    <s v="New"/>
    <s v="Stretch"/>
    <x v="2"/>
    <x v="0"/>
  </r>
  <r>
    <n v="461965"/>
    <x v="10"/>
    <m/>
    <m/>
    <m/>
    <n v="7"/>
    <n v="4"/>
    <n v="20"/>
    <n v="4"/>
    <n v="20"/>
    <d v="2022-01-22T00:00:00"/>
    <s v="New"/>
    <s v="Commit"/>
    <x v="2"/>
    <x v="0"/>
  </r>
  <r>
    <n v="461966"/>
    <x v="11"/>
    <m/>
    <m/>
    <m/>
    <n v="7"/>
    <n v="4"/>
    <n v="20"/>
    <n v="4"/>
    <n v="20"/>
    <d v="2022-01-22T00:00:00"/>
    <s v="New"/>
    <s v="Stretch"/>
    <x v="2"/>
    <x v="0"/>
  </r>
  <r>
    <n v="461967"/>
    <x v="12"/>
    <m/>
    <m/>
    <m/>
    <n v="7"/>
    <n v="4"/>
    <n v="20"/>
    <n v="4"/>
    <n v="20"/>
    <d v="2022-01-22T00:00:00"/>
    <s v="New"/>
    <s v="Stretch"/>
    <x v="2"/>
    <x v="0"/>
  </r>
  <r>
    <n v="461970"/>
    <x v="13"/>
    <m/>
    <m/>
    <m/>
    <n v="7"/>
    <n v="2"/>
    <n v="10"/>
    <n v="2"/>
    <n v="10"/>
    <d v="2022-01-22T00:00:00"/>
    <s v="New"/>
    <s v="Commit"/>
    <x v="0"/>
    <x v="0"/>
  </r>
  <r>
    <n v="461985"/>
    <x v="14"/>
    <m/>
    <m/>
    <m/>
    <n v="7"/>
    <n v="4"/>
    <n v="20"/>
    <n v="3"/>
    <n v="15"/>
    <d v="2022-01-22T00:00:00"/>
    <s v="New"/>
    <s v="Commit"/>
    <x v="0"/>
    <x v="0"/>
  </r>
  <r>
    <n v="461986"/>
    <x v="15"/>
    <m/>
    <m/>
    <m/>
    <n v="7"/>
    <n v="1"/>
    <n v="5"/>
    <n v="1"/>
    <n v="5"/>
    <d v="2022-01-22T00:00:00"/>
    <s v="New"/>
    <s v="Commit"/>
    <x v="0"/>
    <x v="0"/>
  </r>
  <r>
    <n v="461987"/>
    <x v="16"/>
    <m/>
    <m/>
    <m/>
    <n v="7"/>
    <n v="3"/>
    <n v="15"/>
    <n v="2"/>
    <n v="10"/>
    <d v="2022-01-22T00:00:00"/>
    <s v="New"/>
    <s v="Commit"/>
    <x v="0"/>
    <x v="0"/>
  </r>
  <r>
    <n v="461988"/>
    <x v="17"/>
    <m/>
    <m/>
    <m/>
    <n v="7"/>
    <n v="2"/>
    <n v="10"/>
    <n v="2"/>
    <n v="10"/>
    <d v="2022-01-22T00:00:00"/>
    <s v="New"/>
    <s v="Stretch"/>
    <x v="0"/>
    <x v="0"/>
  </r>
  <r>
    <m/>
    <x v="18"/>
    <m/>
    <m/>
    <m/>
    <m/>
    <m/>
    <m/>
    <m/>
    <m/>
    <m/>
    <m/>
    <m/>
    <x v="3"/>
    <x v="1"/>
  </r>
  <r>
    <n v="461953"/>
    <x v="19"/>
    <m/>
    <m/>
    <m/>
    <n v="7"/>
    <n v="4"/>
    <n v="20"/>
    <n v="4"/>
    <n v="20"/>
    <d v="2022-02-08T00:00:00"/>
    <s v="New"/>
    <s v="Stretch"/>
    <x v="2"/>
    <x v="0"/>
  </r>
  <r>
    <n v="461955"/>
    <x v="20"/>
    <m/>
    <m/>
    <m/>
    <n v="7"/>
    <n v="4"/>
    <n v="20"/>
    <n v="4"/>
    <n v="20"/>
    <d v="2022-02-08T00:00:00"/>
    <s v="New"/>
    <s v="Stretch"/>
    <x v="2"/>
    <x v="0"/>
  </r>
  <r>
    <n v="461959"/>
    <x v="21"/>
    <m/>
    <m/>
    <m/>
    <n v="7"/>
    <n v="4"/>
    <n v="20"/>
    <n v="4"/>
    <n v="20"/>
    <d v="2022-02-08T00:00:00"/>
    <s v="New"/>
    <s v="Stretch"/>
    <x v="2"/>
    <x v="0"/>
  </r>
  <r>
    <n v="461968"/>
    <x v="22"/>
    <m/>
    <m/>
    <m/>
    <n v="7"/>
    <n v="3"/>
    <n v="15"/>
    <n v="3"/>
    <n v="15"/>
    <d v="2022-02-08T00:00:00"/>
    <s v="New"/>
    <s v="Stretch"/>
    <x v="2"/>
    <x v="0"/>
  </r>
  <r>
    <n v="463269"/>
    <x v="23"/>
    <m/>
    <m/>
    <m/>
    <n v="8"/>
    <n v="3"/>
    <n v="15"/>
    <n v="2"/>
    <n v="10"/>
    <d v="2022-02-08T00:00:00"/>
    <s v="New"/>
    <s v="Commit"/>
    <x v="2"/>
    <x v="0"/>
  </r>
  <r>
    <n v="463279"/>
    <x v="24"/>
    <m/>
    <m/>
    <m/>
    <n v="7"/>
    <n v="1"/>
    <n v="5"/>
    <n v="1"/>
    <n v="5"/>
    <d v="2022-02-08T00:00:00"/>
    <s v="New"/>
    <s v="Commit"/>
    <x v="2"/>
    <x v="0"/>
  </r>
  <r>
    <n v="458638"/>
    <x v="25"/>
    <m/>
    <m/>
    <m/>
    <n v="6"/>
    <n v="3"/>
    <n v="15"/>
    <n v="3"/>
    <n v="15"/>
    <d v="2022-02-08T00:00:00"/>
    <s v="New"/>
    <s v="Commit"/>
    <x v="4"/>
    <x v="0"/>
  </r>
  <r>
    <n v="461956"/>
    <x v="26"/>
    <m/>
    <m/>
    <m/>
    <n v="7"/>
    <n v="4"/>
    <n v="20"/>
    <n v="4"/>
    <n v="20"/>
    <d v="2022-01-22T00:00:00"/>
    <s v="New"/>
    <s v="Stretch"/>
    <x v="2"/>
    <x v="0"/>
  </r>
  <r>
    <n v="461957"/>
    <x v="27"/>
    <m/>
    <m/>
    <m/>
    <n v="7"/>
    <n v="4"/>
    <n v="20"/>
    <n v="4"/>
    <n v="20"/>
    <d v="2022-01-22T00:00:00"/>
    <s v="New"/>
    <s v="Stretch"/>
    <x v="2"/>
    <x v="0"/>
  </r>
  <r>
    <n v="461958"/>
    <x v="28"/>
    <m/>
    <m/>
    <m/>
    <n v="7"/>
    <n v="4"/>
    <n v="20"/>
    <n v="4"/>
    <n v="20"/>
    <d v="2022-01-22T00:00:00"/>
    <s v="New"/>
    <s v="Stretch"/>
    <x v="2"/>
    <x v="0"/>
  </r>
  <r>
    <n v="461960"/>
    <x v="29"/>
    <m/>
    <m/>
    <m/>
    <n v="7"/>
    <n v="4"/>
    <n v="20"/>
    <n v="4"/>
    <n v="20"/>
    <d v="2022-01-22T00:00:00"/>
    <s v="New"/>
    <s v="Stretch"/>
    <x v="2"/>
    <x v="0"/>
  </r>
  <r>
    <n v="461962"/>
    <x v="30"/>
    <m/>
    <m/>
    <m/>
    <n v="7"/>
    <n v="4"/>
    <n v="20"/>
    <n v="4"/>
    <n v="20"/>
    <d v="2022-01-22T00:00:00"/>
    <s v="New"/>
    <s v="Stretch"/>
    <x v="2"/>
    <x v="0"/>
  </r>
  <r>
    <n v="461963"/>
    <x v="31"/>
    <m/>
    <m/>
    <m/>
    <n v="7"/>
    <n v="4"/>
    <n v="20"/>
    <n v="4"/>
    <n v="20"/>
    <d v="2022-01-22T00:00:00"/>
    <s v="New"/>
    <s v="Stretch"/>
    <x v="2"/>
    <x v="0"/>
  </r>
  <r>
    <n v="461981"/>
    <x v="32"/>
    <m/>
    <m/>
    <m/>
    <n v="7"/>
    <n v="1"/>
    <n v="5"/>
    <n v="1"/>
    <n v="5"/>
    <d v="2021-12-18T00:00:00"/>
    <s v="New"/>
    <s v="Commit"/>
    <x v="2"/>
    <x v="0"/>
  </r>
  <r>
    <n v="462996"/>
    <x v="33"/>
    <m/>
    <m/>
    <m/>
    <n v="7"/>
    <n v="1"/>
    <n v="5"/>
    <n v="1"/>
    <n v="5"/>
    <d v="2021-12-28T00:00:00"/>
    <s v="New"/>
    <s v="Commit"/>
    <x v="5"/>
    <x v="0"/>
  </r>
  <r>
    <s v="XXXXXX"/>
    <x v="34"/>
    <m/>
    <m/>
    <m/>
    <n v="7"/>
    <n v="2"/>
    <n v="10"/>
    <n v="1"/>
    <n v="5"/>
    <d v="2022-01-22T00:00:00"/>
    <s v="New"/>
    <s v="Commit"/>
    <x v="4"/>
    <x v="0"/>
  </r>
  <r>
    <m/>
    <x v="18"/>
    <m/>
    <m/>
    <m/>
    <m/>
    <m/>
    <m/>
    <m/>
    <m/>
    <m/>
    <m/>
    <m/>
    <x v="3"/>
    <x v="1"/>
  </r>
  <r>
    <m/>
    <x v="18"/>
    <m/>
    <m/>
    <m/>
    <m/>
    <m/>
    <m/>
    <m/>
    <m/>
    <m/>
    <m/>
    <m/>
    <x v="3"/>
    <x v="1"/>
  </r>
  <r>
    <n v="471077"/>
    <x v="35"/>
    <m/>
    <m/>
    <m/>
    <n v="6"/>
    <n v="1"/>
    <n v="5"/>
    <n v="0"/>
    <n v="0"/>
    <d v="2021-12-17T00:00:00"/>
    <s v="Closed"/>
    <s v="Commit"/>
    <x v="4"/>
    <x v="2"/>
  </r>
  <r>
    <n v="467032"/>
    <x v="36"/>
    <m/>
    <m/>
    <m/>
    <n v="5"/>
    <n v="2"/>
    <n v="10"/>
    <n v="0"/>
    <n v="10"/>
    <d v="2021-12-11T00:00:00"/>
    <s v="Closed"/>
    <s v="Commit"/>
    <x v="4"/>
    <x v="2"/>
  </r>
  <r>
    <n v="368434"/>
    <x v="37"/>
    <m/>
    <m/>
    <m/>
    <n v="4"/>
    <n v="1"/>
    <n v="5"/>
    <n v="0"/>
    <n v="0"/>
    <d v="2021-12-11T00:00:00"/>
    <s v="Closed"/>
    <s v="Commit"/>
    <x v="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461969"/>
    <s v="Power BI : Testing REI Market Area --&gt; PortfolioExposureDataDumpReport report build "/>
    <m/>
    <m/>
    <m/>
    <n v="7"/>
    <n v="3"/>
    <n v="15"/>
    <n v="1"/>
    <n v="5"/>
    <d v="2021-12-28T00:00:00"/>
    <s v="New"/>
    <s v="Commit"/>
    <x v="0"/>
    <s v="H"/>
    <n v="1"/>
    <n v="2"/>
    <n v="2"/>
    <n v="2.5"/>
    <n v="2.5"/>
    <n v="0"/>
    <n v="0"/>
    <n v="0"/>
    <n v="0.66666666666666663"/>
    <n v="0"/>
  </r>
  <r>
    <n v="461978"/>
    <s v="Power BI :  CML All Report build"/>
    <m/>
    <m/>
    <m/>
    <n v="7"/>
    <n v="2"/>
    <n v="10"/>
    <n v="1"/>
    <n v="5"/>
    <d v="2021-12-28T00:00:00"/>
    <s v="New"/>
    <s v="Commit"/>
    <x v="1"/>
    <s v="H"/>
    <n v="1"/>
    <n v="2"/>
    <n v="2"/>
    <n v="2.5"/>
    <n v="2.5"/>
    <n v="0"/>
    <n v="0"/>
    <n v="0"/>
    <n v="0.5"/>
    <n v="0"/>
  </r>
  <r>
    <n v="461980"/>
    <s v="Power BI :    Surveillance Summary Report"/>
    <m/>
    <m/>
    <m/>
    <n v="7"/>
    <n v="1"/>
    <n v="5"/>
    <n v="1"/>
    <n v="5"/>
    <d v="2021-12-28T00:00:00"/>
    <s v="New"/>
    <s v="Commit"/>
    <x v="1"/>
    <s v="H"/>
    <n v="1"/>
    <n v="1"/>
    <n v="1"/>
    <n v="5"/>
    <n v="0"/>
    <n v="0"/>
    <n v="0"/>
    <n v="0"/>
    <n v="0"/>
    <n v="0"/>
  </r>
  <r>
    <n v="461982"/>
    <s v="Power BI : Loan Maturity Report Testing"/>
    <m/>
    <m/>
    <m/>
    <n v="7"/>
    <n v="2"/>
    <n v="10"/>
    <n v="2"/>
    <n v="10"/>
    <d v="2021-12-18T00:00:00"/>
    <s v="New"/>
    <s v="Stretch"/>
    <x v="1"/>
    <s v="H"/>
    <m/>
    <m/>
    <n v="0"/>
    <n v="0"/>
    <n v="0"/>
    <n v="0"/>
    <n v="0"/>
    <n v="0"/>
    <n v="0"/>
    <n v="0"/>
  </r>
  <r>
    <n v="461983"/>
    <s v="Power BI : Exposure --&gt; Tenant Search report build Testing"/>
    <m/>
    <m/>
    <m/>
    <n v="7"/>
    <n v="3"/>
    <n v="15"/>
    <n v="3"/>
    <n v="15"/>
    <d v="2021-12-18T00:00:00"/>
    <s v="New"/>
    <s v="Stretch"/>
    <x v="1"/>
    <s v="H"/>
    <n v="1"/>
    <n v="2"/>
    <n v="2"/>
    <n v="7.5"/>
    <n v="7.5"/>
    <n v="0"/>
    <n v="0"/>
    <n v="0"/>
    <n v="0"/>
    <n v="0"/>
  </r>
  <r>
    <n v="461984"/>
    <s v="Power BI : Borrower Search Report build Testing"/>
    <m/>
    <m/>
    <m/>
    <n v="7"/>
    <n v="1"/>
    <n v="5"/>
    <n v="1"/>
    <n v="5"/>
    <d v="2021-12-28T00:00:00"/>
    <s v="New"/>
    <s v="Commit"/>
    <x v="1"/>
    <s v="H"/>
    <n v="1"/>
    <n v="2"/>
    <n v="2"/>
    <n v="2.5"/>
    <n v="2.5"/>
    <n v="0"/>
    <n v="0"/>
    <n v="0"/>
    <n v="0"/>
    <n v="0"/>
  </r>
  <r>
    <n v="461989"/>
    <s v="Power BI : Loan Search - Critical Fields report build Testing"/>
    <m/>
    <m/>
    <m/>
    <n v="8"/>
    <n v="5"/>
    <n v="25"/>
    <n v="4"/>
    <n v="20"/>
    <d v="2021-12-18T00:00:00"/>
    <s v="New"/>
    <s v="Commit"/>
    <x v="1"/>
    <s v="H"/>
    <n v="2"/>
    <n v="5"/>
    <n v="5"/>
    <n v="0"/>
    <n v="5"/>
    <n v="5"/>
    <n v="5"/>
    <n v="5"/>
    <n v="0.2"/>
    <n v="0"/>
  </r>
  <r>
    <n v="461952"/>
    <s v="MIS Decommission : Historical Data Migration analysis - Asset Master"/>
    <m/>
    <m/>
    <m/>
    <n v="7"/>
    <n v="5"/>
    <n v="25"/>
    <n v="2"/>
    <n v="10"/>
    <d v="2022-01-15T00:00:00"/>
    <s v="New"/>
    <s v="Commit"/>
    <x v="2"/>
    <s v="H"/>
    <n v="1"/>
    <n v="5"/>
    <n v="5"/>
    <n v="2"/>
    <n v="2"/>
    <n v="2"/>
    <n v="2"/>
    <n v="2"/>
    <n v="0.6"/>
    <n v="0"/>
  </r>
  <r>
    <n v="461979"/>
    <s v="Power BI : Exposure --&gt;MIS Exposure report build"/>
    <m/>
    <m/>
    <m/>
    <n v="7"/>
    <n v="2"/>
    <n v="10"/>
    <n v="2"/>
    <n v="10"/>
    <d v="2022-01-15T00:00:00"/>
    <s v="New"/>
    <s v="Commit"/>
    <x v="0"/>
    <s v="H"/>
    <n v="3"/>
    <n v="4"/>
    <n v="4"/>
    <n v="0"/>
    <n v="0"/>
    <n v="5"/>
    <n v="5"/>
    <n v="0"/>
    <n v="0"/>
    <n v="0"/>
  </r>
  <r>
    <n v="461964"/>
    <s v="MIS Decommission : Historical Data Migration - Building"/>
    <m/>
    <m/>
    <m/>
    <n v="7"/>
    <n v="4"/>
    <n v="20"/>
    <n v="4"/>
    <n v="20"/>
    <d v="2022-01-22T00:00:00"/>
    <s v="New"/>
    <s v="Stretch"/>
    <x v="2"/>
    <s v="H"/>
    <m/>
    <m/>
    <n v="0"/>
    <n v="0"/>
    <n v="0"/>
    <n v="0"/>
    <n v="0"/>
    <n v="0"/>
    <n v="0"/>
    <n v="0"/>
  </r>
  <r>
    <n v="461965"/>
    <s v="MIS Decommission : Historical Data Migration - Risk Pool"/>
    <m/>
    <m/>
    <m/>
    <n v="7"/>
    <n v="4"/>
    <n v="20"/>
    <n v="4"/>
    <n v="20"/>
    <d v="2022-01-22T00:00:00"/>
    <s v="New"/>
    <s v="Commit"/>
    <x v="2"/>
    <s v="H"/>
    <n v="4"/>
    <n v="5"/>
    <n v="5"/>
    <n v="0"/>
    <n v="0"/>
    <n v="0"/>
    <n v="10"/>
    <n v="10"/>
    <n v="0"/>
    <n v="0"/>
  </r>
  <r>
    <n v="461966"/>
    <s v="MIS Decommission : Historical Data Migration - UnfundedCommitmentFundingSCHD"/>
    <m/>
    <m/>
    <m/>
    <n v="7"/>
    <n v="4"/>
    <n v="20"/>
    <n v="4"/>
    <n v="20"/>
    <d v="2022-01-22T00:00:00"/>
    <s v="New"/>
    <s v="Stretch"/>
    <x v="2"/>
    <s v="H"/>
    <m/>
    <m/>
    <n v="0"/>
    <n v="0"/>
    <n v="0"/>
    <n v="0"/>
    <n v="0"/>
    <n v="0"/>
    <n v="0"/>
    <n v="0"/>
  </r>
  <r>
    <n v="461967"/>
    <s v="MIS Decommission : Historical Data Migration - LoanCommitment"/>
    <m/>
    <m/>
    <m/>
    <n v="7"/>
    <n v="4"/>
    <n v="20"/>
    <n v="4"/>
    <n v="20"/>
    <d v="2022-01-22T00:00:00"/>
    <s v="New"/>
    <s v="Stretch"/>
    <x v="2"/>
    <s v="H"/>
    <m/>
    <m/>
    <n v="0"/>
    <n v="0"/>
    <n v="0"/>
    <n v="0"/>
    <n v="0"/>
    <n v="0"/>
    <n v="0"/>
    <n v="0"/>
  </r>
  <r>
    <n v="461970"/>
    <s v="Power BI :    Geographic Report Report"/>
    <m/>
    <m/>
    <m/>
    <n v="7"/>
    <n v="2"/>
    <n v="10"/>
    <n v="2"/>
    <n v="10"/>
    <d v="2022-01-22T00:00:00"/>
    <s v="New"/>
    <s v="Commit"/>
    <x v="0"/>
    <s v="H"/>
    <n v="3"/>
    <n v="4"/>
    <n v="4"/>
    <n v="0"/>
    <n v="0"/>
    <n v="5"/>
    <n v="5"/>
    <n v="0"/>
    <n v="0"/>
    <n v="0"/>
  </r>
  <r>
    <n v="461985"/>
    <s v="Power BI : Commercial Reports --&gt; Market Value by Company Detail report build Testing"/>
    <m/>
    <m/>
    <m/>
    <n v="7"/>
    <n v="4"/>
    <n v="20"/>
    <n v="3"/>
    <n v="15"/>
    <d v="2022-01-22T00:00:00"/>
    <s v="New"/>
    <s v="Commit"/>
    <x v="0"/>
    <s v="H"/>
    <n v="1"/>
    <n v="5"/>
    <n v="5"/>
    <n v="3"/>
    <n v="3"/>
    <n v="3"/>
    <n v="3"/>
    <n v="3"/>
    <n v="0.25"/>
    <n v="0"/>
  </r>
  <r>
    <n v="461986"/>
    <s v="Power BI : Commercial Reports --&gt; Market Value by Company Summary report build testing"/>
    <m/>
    <m/>
    <m/>
    <n v="7"/>
    <n v="1"/>
    <n v="5"/>
    <n v="1"/>
    <n v="5"/>
    <d v="2022-01-22T00:00:00"/>
    <s v="New"/>
    <s v="Commit"/>
    <x v="0"/>
    <s v="H"/>
    <n v="4"/>
    <n v="5"/>
    <n v="5"/>
    <n v="0"/>
    <n v="0"/>
    <n v="0"/>
    <n v="2.5"/>
    <n v="2.5"/>
    <n v="0"/>
    <n v="0"/>
  </r>
  <r>
    <n v="461987"/>
    <s v="Power BI : Commercial Reports --&gt; Market Value by Loan report build Testing"/>
    <m/>
    <m/>
    <m/>
    <n v="7"/>
    <n v="3"/>
    <n v="15"/>
    <n v="2"/>
    <n v="10"/>
    <d v="2022-01-22T00:00:00"/>
    <s v="New"/>
    <s v="Commit"/>
    <x v="0"/>
    <s v="H"/>
    <n v="1"/>
    <n v="5"/>
    <n v="5"/>
    <n v="2"/>
    <n v="2"/>
    <n v="2"/>
    <n v="2"/>
    <n v="2"/>
    <n v="0.33333333333333331"/>
    <n v="0"/>
  </r>
  <r>
    <n v="461988"/>
    <s v="Power BI : Loan Terms --&gt; Loan Terms report build Testing"/>
    <m/>
    <m/>
    <m/>
    <n v="7"/>
    <n v="2"/>
    <n v="10"/>
    <n v="2"/>
    <n v="10"/>
    <d v="2022-01-22T00:00:00"/>
    <s v="New"/>
    <s v="Stretch"/>
    <x v="0"/>
    <s v="H"/>
    <n v="2"/>
    <n v="3"/>
    <n v="3"/>
    <n v="0"/>
    <n v="5"/>
    <n v="5"/>
    <n v="0"/>
    <n v="0"/>
    <n v="0"/>
    <n v="0"/>
  </r>
  <r>
    <m/>
    <m/>
    <m/>
    <m/>
    <m/>
    <m/>
    <m/>
    <m/>
    <m/>
    <m/>
    <m/>
    <m/>
    <m/>
    <x v="3"/>
    <m/>
    <m/>
    <m/>
    <m/>
    <m/>
    <m/>
    <m/>
    <m/>
    <m/>
    <m/>
    <m/>
  </r>
  <r>
    <n v="461953"/>
    <s v="MIS Decommission : Historical Data Migration  - Loan Position"/>
    <m/>
    <m/>
    <m/>
    <n v="7"/>
    <n v="4"/>
    <n v="20"/>
    <n v="4"/>
    <n v="20"/>
    <d v="2022-02-08T00:00:00"/>
    <s v="New"/>
    <s v="Stretch"/>
    <x v="2"/>
    <s v="H"/>
    <n v="3"/>
    <n v="5"/>
    <n v="5"/>
    <n v="0"/>
    <n v="0"/>
    <n v="6.666666666666667"/>
    <n v="6.6666666666666661"/>
    <n v="6.6666666666666679"/>
    <n v="0"/>
    <n v="0"/>
  </r>
  <r>
    <n v="461955"/>
    <s v="MIS Decommission : Historical Data Migration  - Loan Rating"/>
    <m/>
    <m/>
    <m/>
    <n v="7"/>
    <n v="4"/>
    <n v="20"/>
    <n v="4"/>
    <n v="20"/>
    <d v="2022-02-08T00:00:00"/>
    <s v="New"/>
    <s v="Stretch"/>
    <x v="2"/>
    <s v="H"/>
    <n v="3"/>
    <n v="5"/>
    <n v="5"/>
    <n v="0"/>
    <n v="0"/>
    <n v="6.666666666666667"/>
    <n v="6.6666666666666661"/>
    <n v="6.6666666666666679"/>
    <n v="0"/>
    <n v="0"/>
  </r>
  <r>
    <n v="461959"/>
    <s v="MIS Decommission : Historical Data Migration  - Loan Price"/>
    <m/>
    <m/>
    <m/>
    <n v="7"/>
    <n v="4"/>
    <n v="20"/>
    <n v="4"/>
    <n v="20"/>
    <d v="2022-02-08T00:00:00"/>
    <s v="New"/>
    <s v="Stretch"/>
    <x v="2"/>
    <s v="H"/>
    <n v="3"/>
    <n v="5"/>
    <n v="5"/>
    <n v="0"/>
    <n v="0"/>
    <n v="6.666666666666667"/>
    <n v="6.6666666666666661"/>
    <n v="6.6666666666666679"/>
    <n v="0"/>
    <n v="0"/>
  </r>
  <r>
    <n v="461968"/>
    <s v="Power BI : Investor Reports --&gt; Price report build – Testing"/>
    <m/>
    <m/>
    <m/>
    <n v="7"/>
    <n v="3"/>
    <n v="15"/>
    <n v="3"/>
    <n v="15"/>
    <d v="2022-02-08T00:00:00"/>
    <s v="New"/>
    <s v="Stretch"/>
    <x v="2"/>
    <s v="H"/>
    <n v="3"/>
    <n v="4"/>
    <n v="4"/>
    <n v="0"/>
    <n v="0"/>
    <n v="7.5"/>
    <n v="7.5"/>
    <n v="0"/>
    <n v="0"/>
    <n v="0"/>
  </r>
  <r>
    <n v="463269"/>
    <s v="Power BI: UAT Support to modify the reports based on Business feedback"/>
    <m/>
    <m/>
    <m/>
    <n v="8"/>
    <n v="3"/>
    <n v="15"/>
    <n v="2"/>
    <n v="10"/>
    <d v="2022-02-08T00:00:00"/>
    <s v="New"/>
    <s v="Commit"/>
    <x v="2"/>
    <s v="H"/>
    <n v="1"/>
    <n v="5"/>
    <n v="5"/>
    <n v="2"/>
    <n v="2"/>
    <n v="2"/>
    <n v="2"/>
    <n v="2"/>
    <n v="0.33333333333333331"/>
    <n v="0"/>
  </r>
  <r>
    <n v="463279"/>
    <s v="MIS : Market Value - Spread mapping by Rating &gt; Loan TYpe &gt; Property TYpes"/>
    <m/>
    <m/>
    <m/>
    <n v="7"/>
    <n v="1"/>
    <n v="5"/>
    <n v="1"/>
    <n v="5"/>
    <d v="2022-02-08T00:00:00"/>
    <s v="New"/>
    <s v="Commit"/>
    <x v="2"/>
    <s v="H"/>
    <n v="1"/>
    <n v="1"/>
    <n v="1"/>
    <n v="5"/>
    <n v="0"/>
    <n v="0"/>
    <n v="0"/>
    <n v="0"/>
    <n v="0"/>
    <n v="0"/>
  </r>
  <r>
    <n v="458638"/>
    <s v="MIS: Balance Inquiry Report page break fix when all balance fields are chosen"/>
    <m/>
    <m/>
    <m/>
    <n v="6"/>
    <n v="3"/>
    <n v="15"/>
    <n v="3"/>
    <n v="15"/>
    <d v="2022-02-08T00:00:00"/>
    <s v="New"/>
    <s v="Commit"/>
    <x v="4"/>
    <s v="H"/>
    <n v="3"/>
    <n v="3"/>
    <n v="3"/>
    <n v="0"/>
    <n v="0"/>
    <n v="15"/>
    <n v="0"/>
    <n v="0"/>
    <n v="0"/>
    <n v="0"/>
  </r>
  <r>
    <n v="461956"/>
    <s v="MIS Decommission : Historical Data Migration  - LoanUnscheduledincome"/>
    <m/>
    <m/>
    <m/>
    <n v="7"/>
    <n v="4"/>
    <n v="20"/>
    <n v="4"/>
    <n v="20"/>
    <d v="2022-01-22T00:00:00"/>
    <s v="New"/>
    <s v="Stretch"/>
    <x v="2"/>
    <s v="H"/>
    <m/>
    <m/>
    <m/>
    <m/>
    <m/>
    <m/>
    <m/>
    <m/>
    <m/>
    <m/>
  </r>
  <r>
    <n v="461957"/>
    <s v="MIS Decommission : Historical Data Migration  -AmSchedule"/>
    <m/>
    <m/>
    <m/>
    <n v="7"/>
    <n v="4"/>
    <n v="20"/>
    <n v="4"/>
    <n v="20"/>
    <d v="2022-01-22T00:00:00"/>
    <s v="New"/>
    <s v="Stretch"/>
    <x v="2"/>
    <s v="H"/>
    <m/>
    <m/>
    <m/>
    <m/>
    <m/>
    <m/>
    <m/>
    <m/>
    <m/>
    <m/>
  </r>
  <r>
    <n v="461958"/>
    <s v="MIS Decommission : Historical Data Migration  -AssetPerformance"/>
    <m/>
    <m/>
    <m/>
    <n v="7"/>
    <n v="4"/>
    <n v="20"/>
    <n v="4"/>
    <n v="20"/>
    <d v="2022-01-22T00:00:00"/>
    <s v="New"/>
    <s v="Stretch"/>
    <x v="2"/>
    <s v="H"/>
    <m/>
    <m/>
    <m/>
    <m/>
    <m/>
    <m/>
    <m/>
    <m/>
    <m/>
    <m/>
  </r>
  <r>
    <n v="461960"/>
    <s v="MIS Decommission : Historical Data Migration - Loan Transaction"/>
    <m/>
    <m/>
    <m/>
    <n v="7"/>
    <n v="4"/>
    <n v="20"/>
    <n v="4"/>
    <n v="20"/>
    <d v="2022-01-22T00:00:00"/>
    <s v="New"/>
    <s v="Stretch"/>
    <x v="2"/>
    <s v="H"/>
    <m/>
    <m/>
    <m/>
    <m/>
    <m/>
    <m/>
    <m/>
    <m/>
    <m/>
    <m/>
  </r>
  <r>
    <n v="461962"/>
    <s v="MIS Decommission : Historical Data Migration  - BeneficialBorrower"/>
    <m/>
    <m/>
    <m/>
    <n v="7"/>
    <n v="4"/>
    <n v="20"/>
    <n v="4"/>
    <n v="20"/>
    <d v="2022-01-22T00:00:00"/>
    <s v="New"/>
    <s v="Stretch"/>
    <x v="2"/>
    <s v="H"/>
    <m/>
    <m/>
    <m/>
    <m/>
    <m/>
    <m/>
    <m/>
    <m/>
    <m/>
    <m/>
  </r>
  <r>
    <n v="461963"/>
    <s v="MIS Decommission : Historical Data Migration  - Property Valuation"/>
    <m/>
    <m/>
    <m/>
    <n v="7"/>
    <n v="4"/>
    <n v="20"/>
    <n v="4"/>
    <n v="20"/>
    <d v="2022-01-22T00:00:00"/>
    <s v="New"/>
    <s v="Stretch"/>
    <x v="2"/>
    <s v="H"/>
    <m/>
    <m/>
    <m/>
    <m/>
    <m/>
    <m/>
    <m/>
    <m/>
    <m/>
    <m/>
  </r>
  <r>
    <n v="461981"/>
    <s v="Power BI : Trend --&gt; Rating Trend report build"/>
    <m/>
    <m/>
    <m/>
    <n v="7"/>
    <n v="1"/>
    <n v="5"/>
    <n v="1"/>
    <n v="5"/>
    <d v="2021-12-18T00:00:00"/>
    <s v="New"/>
    <s v="Commit"/>
    <x v="2"/>
    <s v="H"/>
    <n v="4"/>
    <n v="5"/>
    <n v="5"/>
    <n v="0"/>
    <n v="0"/>
    <n v="0"/>
    <n v="2.5"/>
    <n v="2.5"/>
    <n v="0"/>
    <n v="0"/>
  </r>
  <r>
    <n v="462996"/>
    <s v="MIS : Infrastructure change implementation during non business   hours"/>
    <m/>
    <m/>
    <m/>
    <n v="7"/>
    <n v="1"/>
    <n v="5"/>
    <n v="1"/>
    <n v="5"/>
    <d v="2021-12-28T00:00:00"/>
    <s v="New"/>
    <s v="Commit"/>
    <x v="5"/>
    <s v="H"/>
    <n v="1"/>
    <n v="1"/>
    <n v="1"/>
    <n v="5"/>
    <n v="0"/>
    <n v="0"/>
    <n v="0"/>
    <n v="0"/>
    <n v="0"/>
    <n v="0"/>
  </r>
  <r>
    <s v="XXXXXX"/>
    <s v="2012 OS Server upgrades to 2016 support"/>
    <m/>
    <m/>
    <m/>
    <n v="7"/>
    <n v="2"/>
    <n v="10"/>
    <n v="1"/>
    <n v="5"/>
    <d v="2022-01-22T00:00:00"/>
    <s v="New"/>
    <s v="Commit"/>
    <x v="4"/>
    <s v="H"/>
    <n v="2"/>
    <n v="5"/>
    <n v="5"/>
    <n v="0"/>
    <n v="1.25"/>
    <n v="1.25"/>
    <n v="1.25"/>
    <n v="1.25"/>
    <n v="0.5"/>
    <n v="0"/>
  </r>
  <r>
    <m/>
    <m/>
    <m/>
    <m/>
    <m/>
    <m/>
    <m/>
    <m/>
    <m/>
    <m/>
    <m/>
    <m/>
    <m/>
    <x v="3"/>
    <m/>
    <m/>
    <m/>
    <m/>
    <m/>
    <m/>
    <m/>
    <m/>
    <m/>
    <m/>
    <m/>
  </r>
  <r>
    <m/>
    <m/>
    <m/>
    <m/>
    <m/>
    <m/>
    <m/>
    <m/>
    <m/>
    <m/>
    <m/>
    <m/>
    <m/>
    <x v="3"/>
    <m/>
    <m/>
    <m/>
    <m/>
    <m/>
    <m/>
    <m/>
    <m/>
    <m/>
    <m/>
    <m/>
  </r>
  <r>
    <n v="471077"/>
    <s v="Add SOFR Projections to Admin (Repurpose the Libor Projections in Admin) - REWORK (vendor)"/>
    <m/>
    <m/>
    <m/>
    <n v="6"/>
    <n v="1"/>
    <n v="5"/>
    <n v="0"/>
    <n v="0"/>
    <d v="2021-12-17T00:00:00"/>
    <s v="Closed"/>
    <s v="Commit"/>
    <x v="4"/>
    <s v="IM"/>
    <n v="1"/>
    <n v="2"/>
    <n v="2"/>
    <n v="0"/>
    <n v="0"/>
    <n v="0"/>
    <n v="0"/>
    <n v="0"/>
    <n v="1"/>
    <n v="6"/>
  </r>
  <r>
    <n v="467032"/>
    <s v="Add additional property-level fields for NGBS and Green Globes in Backshop - Part 2 (NLS &amp; Cubes)"/>
    <m/>
    <m/>
    <m/>
    <n v="5"/>
    <n v="2"/>
    <n v="10"/>
    <n v="0"/>
    <n v="10"/>
    <d v="2021-12-11T00:00:00"/>
    <s v="Closed"/>
    <s v="Commit"/>
    <x v="4"/>
    <s v="IM"/>
    <n v="1"/>
    <n v="1"/>
    <n v="1"/>
    <n v="10"/>
    <n v="0"/>
    <n v="0"/>
    <n v="0"/>
    <n v="0"/>
    <n v="1"/>
    <n v="5"/>
  </r>
  <r>
    <n v="368434"/>
    <s v="Add Sponsor to LMW"/>
    <m/>
    <m/>
    <m/>
    <n v="4"/>
    <n v="1"/>
    <n v="5"/>
    <n v="0"/>
    <n v="0"/>
    <d v="2021-12-11T00:00:00"/>
    <s v="Closed"/>
    <s v="Commit"/>
    <x v="4"/>
    <s v="IM"/>
    <n v="1"/>
    <n v="1"/>
    <n v="1"/>
    <n v="0"/>
    <n v="0"/>
    <n v="0"/>
    <n v="0"/>
    <n v="0"/>
    <n v="1"/>
    <n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461969"/>
    <s v="Power BI : Testing REI Market Area --&gt; PortfolioExposureDataDumpReport report build "/>
    <m/>
    <m/>
    <m/>
    <n v="7"/>
    <n v="3"/>
    <n v="15"/>
    <n v="1"/>
    <n v="5"/>
    <d v="2021-12-28T00:00:00"/>
    <s v="New"/>
    <s v="Commit"/>
    <x v="0"/>
    <x v="0"/>
    <n v="1"/>
    <n v="2"/>
    <n v="2"/>
    <n v="2.5"/>
    <n v="2.5"/>
    <n v="0"/>
    <n v="0"/>
    <n v="0"/>
    <n v="0.66666666666666663"/>
    <n v="0"/>
  </r>
  <r>
    <n v="461978"/>
    <s v="Power BI :  CML All Report build"/>
    <m/>
    <m/>
    <m/>
    <n v="7"/>
    <n v="2"/>
    <n v="10"/>
    <n v="1"/>
    <n v="5"/>
    <d v="2021-12-28T00:00:00"/>
    <s v="New"/>
    <s v="Commit"/>
    <x v="1"/>
    <x v="0"/>
    <n v="1"/>
    <n v="2"/>
    <n v="2"/>
    <n v="2.5"/>
    <n v="2.5"/>
    <n v="0"/>
    <n v="0"/>
    <n v="0"/>
    <n v="0.5"/>
    <n v="0"/>
  </r>
  <r>
    <n v="461980"/>
    <s v="Power BI :    Surveillance Summary Report"/>
    <m/>
    <m/>
    <m/>
    <n v="7"/>
    <n v="1"/>
    <n v="5"/>
    <n v="1"/>
    <n v="5"/>
    <d v="2021-12-28T00:00:00"/>
    <s v="New"/>
    <s v="Commit"/>
    <x v="1"/>
    <x v="0"/>
    <n v="1"/>
    <n v="1"/>
    <n v="1"/>
    <n v="5"/>
    <n v="0"/>
    <n v="0"/>
    <n v="0"/>
    <n v="0"/>
    <n v="0"/>
    <n v="0"/>
  </r>
  <r>
    <n v="461982"/>
    <s v="Power BI : Loan Maturity Report Testing"/>
    <m/>
    <m/>
    <m/>
    <n v="7"/>
    <n v="2"/>
    <n v="10"/>
    <n v="2"/>
    <n v="10"/>
    <d v="2021-12-18T00:00:00"/>
    <s v="New"/>
    <s v="Stretch"/>
    <x v="1"/>
    <x v="0"/>
    <m/>
    <m/>
    <n v="0"/>
    <n v="0"/>
    <n v="0"/>
    <n v="0"/>
    <n v="0"/>
    <n v="0"/>
    <n v="0"/>
    <n v="0"/>
  </r>
  <r>
    <n v="461983"/>
    <s v="Power BI : Exposure --&gt; Tenant Search report build Testing"/>
    <m/>
    <m/>
    <m/>
    <n v="7"/>
    <n v="3"/>
    <n v="15"/>
    <n v="3"/>
    <n v="15"/>
    <d v="2021-12-18T00:00:00"/>
    <s v="New"/>
    <s v="Stretch"/>
    <x v="1"/>
    <x v="0"/>
    <n v="1"/>
    <n v="2"/>
    <n v="2"/>
    <n v="7.5"/>
    <n v="7.5"/>
    <n v="0"/>
    <n v="0"/>
    <n v="0"/>
    <n v="0"/>
    <n v="0"/>
  </r>
  <r>
    <n v="461984"/>
    <s v="Power BI : Borrower Search Report build Testing"/>
    <m/>
    <m/>
    <m/>
    <n v="7"/>
    <n v="1"/>
    <n v="5"/>
    <n v="1"/>
    <n v="5"/>
    <d v="2021-12-28T00:00:00"/>
    <s v="New"/>
    <s v="Commit"/>
    <x v="1"/>
    <x v="0"/>
    <n v="1"/>
    <n v="2"/>
    <n v="2"/>
    <n v="2.5"/>
    <n v="2.5"/>
    <n v="0"/>
    <n v="0"/>
    <n v="0"/>
    <n v="0"/>
    <n v="0"/>
  </r>
  <r>
    <n v="461989"/>
    <s v="Power BI : Loan Search - Critical Fields report build Testing"/>
    <m/>
    <m/>
    <m/>
    <n v="8"/>
    <n v="5"/>
    <n v="25"/>
    <n v="4"/>
    <n v="20"/>
    <d v="2021-12-18T00:00:00"/>
    <s v="New"/>
    <s v="Commit"/>
    <x v="1"/>
    <x v="0"/>
    <n v="2"/>
    <n v="5"/>
    <n v="5"/>
    <n v="0"/>
    <n v="5"/>
    <n v="5"/>
    <n v="5"/>
    <n v="5"/>
    <n v="0.2"/>
    <n v="0"/>
  </r>
  <r>
    <n v="461952"/>
    <s v="MIS Decommission : Historical Data Migration analysis - Asset Master"/>
    <m/>
    <m/>
    <m/>
    <n v="7"/>
    <n v="5"/>
    <n v="25"/>
    <n v="2"/>
    <n v="10"/>
    <d v="2022-01-15T00:00:00"/>
    <s v="New"/>
    <s v="Commit"/>
    <x v="2"/>
    <x v="0"/>
    <n v="1"/>
    <n v="5"/>
    <n v="5"/>
    <n v="2"/>
    <n v="2"/>
    <n v="2"/>
    <n v="2"/>
    <n v="2"/>
    <n v="0.6"/>
    <n v="0"/>
  </r>
  <r>
    <n v="461979"/>
    <s v="Power BI : Exposure --&gt;MIS Exposure report build"/>
    <m/>
    <m/>
    <m/>
    <n v="7"/>
    <n v="2"/>
    <n v="10"/>
    <n v="2"/>
    <n v="10"/>
    <d v="2022-01-15T00:00:00"/>
    <s v="New"/>
    <s v="Commit"/>
    <x v="0"/>
    <x v="0"/>
    <n v="3"/>
    <n v="4"/>
    <n v="4"/>
    <n v="0"/>
    <n v="0"/>
    <n v="5"/>
    <n v="5"/>
    <n v="0"/>
    <n v="0"/>
    <n v="0"/>
  </r>
  <r>
    <n v="461964"/>
    <s v="MIS Decommission : Historical Data Migration - Building"/>
    <m/>
    <m/>
    <m/>
    <n v="7"/>
    <n v="4"/>
    <n v="20"/>
    <n v="4"/>
    <n v="20"/>
    <d v="2022-01-22T00:00:00"/>
    <s v="New"/>
    <s v="Stretch"/>
    <x v="2"/>
    <x v="0"/>
    <m/>
    <m/>
    <n v="0"/>
    <n v="0"/>
    <n v="0"/>
    <n v="0"/>
    <n v="0"/>
    <n v="0"/>
    <n v="0"/>
    <n v="0"/>
  </r>
  <r>
    <n v="461965"/>
    <s v="MIS Decommission : Historical Data Migration - Risk Pool"/>
    <m/>
    <m/>
    <m/>
    <n v="7"/>
    <n v="4"/>
    <n v="20"/>
    <n v="4"/>
    <n v="20"/>
    <d v="2022-01-22T00:00:00"/>
    <s v="New"/>
    <s v="Commit"/>
    <x v="2"/>
    <x v="0"/>
    <n v="4"/>
    <n v="5"/>
    <n v="5"/>
    <n v="0"/>
    <n v="0"/>
    <n v="0"/>
    <n v="10"/>
    <n v="10"/>
    <n v="0"/>
    <n v="0"/>
  </r>
  <r>
    <n v="461966"/>
    <s v="MIS Decommission : Historical Data Migration - UnfundedCommitmentFundingSCHD"/>
    <m/>
    <m/>
    <m/>
    <n v="7"/>
    <n v="4"/>
    <n v="20"/>
    <n v="4"/>
    <n v="20"/>
    <d v="2022-01-22T00:00:00"/>
    <s v="New"/>
    <s v="Stretch"/>
    <x v="2"/>
    <x v="0"/>
    <m/>
    <m/>
    <n v="0"/>
    <n v="0"/>
    <n v="0"/>
    <n v="0"/>
    <n v="0"/>
    <n v="0"/>
    <n v="0"/>
    <n v="0"/>
  </r>
  <r>
    <n v="461967"/>
    <s v="MIS Decommission : Historical Data Migration - LoanCommitment"/>
    <m/>
    <m/>
    <m/>
    <n v="7"/>
    <n v="4"/>
    <n v="20"/>
    <n v="4"/>
    <n v="20"/>
    <d v="2022-01-22T00:00:00"/>
    <s v="New"/>
    <s v="Stretch"/>
    <x v="2"/>
    <x v="0"/>
    <m/>
    <m/>
    <n v="0"/>
    <n v="0"/>
    <n v="0"/>
    <n v="0"/>
    <n v="0"/>
    <n v="0"/>
    <n v="0"/>
    <n v="0"/>
  </r>
  <r>
    <n v="461970"/>
    <s v="Power BI :    Geographic Report Report"/>
    <m/>
    <m/>
    <m/>
    <n v="7"/>
    <n v="2"/>
    <n v="10"/>
    <n v="2"/>
    <n v="10"/>
    <d v="2022-01-22T00:00:00"/>
    <s v="New"/>
    <s v="Commit"/>
    <x v="0"/>
    <x v="0"/>
    <n v="3"/>
    <n v="4"/>
    <n v="4"/>
    <n v="0"/>
    <n v="0"/>
    <n v="5"/>
    <n v="5"/>
    <n v="0"/>
    <n v="0"/>
    <n v="0"/>
  </r>
  <r>
    <n v="461985"/>
    <s v="Power BI : Commercial Reports --&gt; Market Value by Company Detail report build Testing"/>
    <m/>
    <m/>
    <m/>
    <n v="7"/>
    <n v="4"/>
    <n v="20"/>
    <n v="3"/>
    <n v="15"/>
    <d v="2022-01-22T00:00:00"/>
    <s v="New"/>
    <s v="Commit"/>
    <x v="0"/>
    <x v="0"/>
    <n v="1"/>
    <n v="5"/>
    <n v="5"/>
    <n v="3"/>
    <n v="3"/>
    <n v="3"/>
    <n v="3"/>
    <n v="3"/>
    <n v="0.25"/>
    <n v="0"/>
  </r>
  <r>
    <n v="461986"/>
    <s v="Power BI : Commercial Reports --&gt; Market Value by Company Summary report build testing"/>
    <m/>
    <m/>
    <m/>
    <n v="7"/>
    <n v="1"/>
    <n v="5"/>
    <n v="1"/>
    <n v="5"/>
    <d v="2022-01-22T00:00:00"/>
    <s v="New"/>
    <s v="Commit"/>
    <x v="0"/>
    <x v="0"/>
    <n v="4"/>
    <n v="5"/>
    <n v="5"/>
    <n v="0"/>
    <n v="0"/>
    <n v="0"/>
    <n v="2.5"/>
    <n v="2.5"/>
    <n v="0"/>
    <n v="0"/>
  </r>
  <r>
    <n v="461987"/>
    <s v="Power BI : Commercial Reports --&gt; Market Value by Loan report build Testing"/>
    <m/>
    <m/>
    <m/>
    <n v="7"/>
    <n v="3"/>
    <n v="15"/>
    <n v="2"/>
    <n v="10"/>
    <d v="2022-01-22T00:00:00"/>
    <s v="New"/>
    <s v="Commit"/>
    <x v="0"/>
    <x v="0"/>
    <n v="1"/>
    <n v="5"/>
    <n v="5"/>
    <n v="2"/>
    <n v="2"/>
    <n v="2"/>
    <n v="2"/>
    <n v="2"/>
    <n v="0.33333333333333331"/>
    <n v="0"/>
  </r>
  <r>
    <n v="461988"/>
    <s v="Power BI : Loan Terms --&gt; Loan Terms report build Testing"/>
    <m/>
    <m/>
    <m/>
    <n v="7"/>
    <n v="2"/>
    <n v="10"/>
    <n v="2"/>
    <n v="10"/>
    <d v="2022-01-22T00:00:00"/>
    <s v="New"/>
    <s v="Stretch"/>
    <x v="0"/>
    <x v="0"/>
    <n v="2"/>
    <n v="3"/>
    <n v="3"/>
    <n v="0"/>
    <n v="5"/>
    <n v="5"/>
    <n v="0"/>
    <n v="0"/>
    <n v="0"/>
    <n v="0"/>
  </r>
  <r>
    <m/>
    <m/>
    <m/>
    <m/>
    <m/>
    <m/>
    <m/>
    <m/>
    <m/>
    <m/>
    <m/>
    <m/>
    <m/>
    <x v="3"/>
    <x v="1"/>
    <m/>
    <m/>
    <m/>
    <m/>
    <m/>
    <m/>
    <m/>
    <m/>
    <m/>
    <m/>
  </r>
  <r>
    <n v="461953"/>
    <s v="MIS Decommission : Historical Data Migration  - Loan Position"/>
    <m/>
    <m/>
    <m/>
    <n v="7"/>
    <n v="4"/>
    <n v="20"/>
    <n v="4"/>
    <n v="20"/>
    <d v="2022-02-08T00:00:00"/>
    <s v="New"/>
    <s v="Stretch"/>
    <x v="2"/>
    <x v="0"/>
    <n v="3"/>
    <n v="5"/>
    <n v="5"/>
    <n v="0"/>
    <n v="0"/>
    <n v="6.666666666666667"/>
    <n v="6.6666666666666661"/>
    <n v="6.6666666666666679"/>
    <n v="0"/>
    <n v="0"/>
  </r>
  <r>
    <n v="461955"/>
    <s v="MIS Decommission : Historical Data Migration  - Loan Rating"/>
    <m/>
    <m/>
    <m/>
    <n v="7"/>
    <n v="4"/>
    <n v="20"/>
    <n v="4"/>
    <n v="20"/>
    <d v="2022-02-08T00:00:00"/>
    <s v="New"/>
    <s v="Stretch"/>
    <x v="2"/>
    <x v="0"/>
    <n v="3"/>
    <n v="5"/>
    <n v="5"/>
    <n v="0"/>
    <n v="0"/>
    <n v="6.666666666666667"/>
    <n v="6.6666666666666661"/>
    <n v="6.6666666666666679"/>
    <n v="0"/>
    <n v="0"/>
  </r>
  <r>
    <n v="461959"/>
    <s v="MIS Decommission : Historical Data Migration  - Loan Price"/>
    <m/>
    <m/>
    <m/>
    <n v="7"/>
    <n v="4"/>
    <n v="20"/>
    <n v="4"/>
    <n v="20"/>
    <d v="2022-02-08T00:00:00"/>
    <s v="New"/>
    <s v="Stretch"/>
    <x v="2"/>
    <x v="0"/>
    <n v="3"/>
    <n v="5"/>
    <n v="5"/>
    <n v="0"/>
    <n v="0"/>
    <n v="6.666666666666667"/>
    <n v="6.6666666666666661"/>
    <n v="6.6666666666666679"/>
    <n v="0"/>
    <n v="0"/>
  </r>
  <r>
    <n v="461968"/>
    <s v="Power BI : Investor Reports --&gt; Price report build – Testing"/>
    <m/>
    <m/>
    <m/>
    <n v="7"/>
    <n v="3"/>
    <n v="15"/>
    <n v="3"/>
    <n v="15"/>
    <d v="2022-02-08T00:00:00"/>
    <s v="New"/>
    <s v="Stretch"/>
    <x v="2"/>
    <x v="0"/>
    <n v="3"/>
    <n v="4"/>
    <n v="4"/>
    <n v="0"/>
    <n v="0"/>
    <n v="7.5"/>
    <n v="7.5"/>
    <n v="0"/>
    <n v="0"/>
    <n v="0"/>
  </r>
  <r>
    <n v="463269"/>
    <s v="Power BI: UAT Support to modify the reports based on Business feedback"/>
    <m/>
    <m/>
    <m/>
    <n v="8"/>
    <n v="3"/>
    <n v="15"/>
    <n v="2"/>
    <n v="10"/>
    <d v="2022-02-08T00:00:00"/>
    <s v="New"/>
    <s v="Commit"/>
    <x v="2"/>
    <x v="0"/>
    <n v="1"/>
    <n v="5"/>
    <n v="5"/>
    <n v="2"/>
    <n v="2"/>
    <n v="2"/>
    <n v="2"/>
    <n v="2"/>
    <n v="0.33333333333333331"/>
    <n v="0"/>
  </r>
  <r>
    <n v="463279"/>
    <s v="MIS : Market Value - Spread mapping by Rating &gt; Loan TYpe &gt; Property TYpes"/>
    <m/>
    <m/>
    <m/>
    <n v="7"/>
    <n v="1"/>
    <n v="5"/>
    <n v="1"/>
    <n v="5"/>
    <d v="2022-02-08T00:00:00"/>
    <s v="New"/>
    <s v="Commit"/>
    <x v="2"/>
    <x v="0"/>
    <n v="1"/>
    <n v="1"/>
    <n v="1"/>
    <n v="5"/>
    <n v="0"/>
    <n v="0"/>
    <n v="0"/>
    <n v="0"/>
    <n v="0"/>
    <n v="0"/>
  </r>
  <r>
    <n v="458638"/>
    <s v="MIS: Balance Inquiry Report page break fix when all balance fields are chosen"/>
    <m/>
    <m/>
    <m/>
    <n v="6"/>
    <n v="3"/>
    <n v="15"/>
    <n v="3"/>
    <n v="15"/>
    <d v="2022-02-08T00:00:00"/>
    <s v="New"/>
    <s v="Commit"/>
    <x v="4"/>
    <x v="0"/>
    <n v="3"/>
    <n v="3"/>
    <n v="3"/>
    <n v="0"/>
    <n v="0"/>
    <n v="15"/>
    <n v="0"/>
    <n v="0"/>
    <n v="0"/>
    <n v="0"/>
  </r>
  <r>
    <n v="461956"/>
    <s v="MIS Decommission : Historical Data Migration  - LoanUnscheduledincome"/>
    <m/>
    <m/>
    <m/>
    <n v="7"/>
    <n v="4"/>
    <n v="20"/>
    <n v="4"/>
    <n v="20"/>
    <d v="2022-01-22T00:00:00"/>
    <s v="New"/>
    <s v="Stretch"/>
    <x v="2"/>
    <x v="0"/>
    <m/>
    <m/>
    <m/>
    <m/>
    <m/>
    <m/>
    <m/>
    <m/>
    <m/>
    <m/>
  </r>
  <r>
    <n v="461957"/>
    <s v="MIS Decommission : Historical Data Migration  -AmSchedule"/>
    <m/>
    <m/>
    <m/>
    <n v="7"/>
    <n v="4"/>
    <n v="20"/>
    <n v="4"/>
    <n v="20"/>
    <d v="2022-01-22T00:00:00"/>
    <s v="New"/>
    <s v="Stretch"/>
    <x v="2"/>
    <x v="0"/>
    <m/>
    <m/>
    <m/>
    <m/>
    <m/>
    <m/>
    <m/>
    <m/>
    <m/>
    <m/>
  </r>
  <r>
    <n v="461958"/>
    <s v="MIS Decommission : Historical Data Migration  -AssetPerformance"/>
    <m/>
    <m/>
    <m/>
    <n v="7"/>
    <n v="4"/>
    <n v="20"/>
    <n v="4"/>
    <n v="20"/>
    <d v="2022-01-22T00:00:00"/>
    <s v="New"/>
    <s v="Stretch"/>
    <x v="2"/>
    <x v="0"/>
    <m/>
    <m/>
    <m/>
    <m/>
    <m/>
    <m/>
    <m/>
    <m/>
    <m/>
    <m/>
  </r>
  <r>
    <n v="461960"/>
    <s v="MIS Decommission : Historical Data Migration - Loan Transaction"/>
    <m/>
    <m/>
    <m/>
    <n v="7"/>
    <n v="4"/>
    <n v="20"/>
    <n v="4"/>
    <n v="20"/>
    <d v="2022-01-22T00:00:00"/>
    <s v="New"/>
    <s v="Stretch"/>
    <x v="2"/>
    <x v="0"/>
    <m/>
    <m/>
    <m/>
    <m/>
    <m/>
    <m/>
    <m/>
    <m/>
    <m/>
    <m/>
  </r>
  <r>
    <n v="461962"/>
    <s v="MIS Decommission : Historical Data Migration  - BeneficialBorrower"/>
    <m/>
    <m/>
    <m/>
    <n v="7"/>
    <n v="4"/>
    <n v="20"/>
    <n v="4"/>
    <n v="20"/>
    <d v="2022-01-22T00:00:00"/>
    <s v="New"/>
    <s v="Stretch"/>
    <x v="2"/>
    <x v="0"/>
    <m/>
    <m/>
    <m/>
    <m/>
    <m/>
    <m/>
    <m/>
    <m/>
    <m/>
    <m/>
  </r>
  <r>
    <n v="461963"/>
    <s v="MIS Decommission : Historical Data Migration  - Property Valuation"/>
    <m/>
    <m/>
    <m/>
    <n v="7"/>
    <n v="4"/>
    <n v="20"/>
    <n v="4"/>
    <n v="20"/>
    <d v="2022-01-22T00:00:00"/>
    <s v="New"/>
    <s v="Stretch"/>
    <x v="2"/>
    <x v="0"/>
    <m/>
    <m/>
    <m/>
    <m/>
    <m/>
    <m/>
    <m/>
    <m/>
    <m/>
    <m/>
  </r>
  <r>
    <n v="461981"/>
    <s v="Power BI : Trend --&gt; Rating Trend report build"/>
    <m/>
    <m/>
    <m/>
    <n v="7"/>
    <n v="1"/>
    <n v="5"/>
    <n v="1"/>
    <n v="5"/>
    <d v="2021-12-18T00:00:00"/>
    <s v="New"/>
    <s v="Commit"/>
    <x v="2"/>
    <x v="0"/>
    <n v="4"/>
    <n v="5"/>
    <n v="5"/>
    <n v="0"/>
    <n v="0"/>
    <n v="0"/>
    <n v="2.5"/>
    <n v="2.5"/>
    <n v="0"/>
    <n v="0"/>
  </r>
  <r>
    <n v="462996"/>
    <s v="MIS : Infrastructure change implementation during non business   hours"/>
    <m/>
    <m/>
    <m/>
    <n v="7"/>
    <n v="1"/>
    <n v="5"/>
    <n v="1"/>
    <n v="5"/>
    <d v="2021-12-28T00:00:00"/>
    <s v="New"/>
    <s v="Commit"/>
    <x v="5"/>
    <x v="0"/>
    <n v="1"/>
    <n v="1"/>
    <n v="1"/>
    <n v="5"/>
    <n v="0"/>
    <n v="0"/>
    <n v="0"/>
    <n v="0"/>
    <n v="0"/>
    <n v="0"/>
  </r>
  <r>
    <s v="XXXXXX"/>
    <s v="2012 OS Server upgrades to 2016 support"/>
    <m/>
    <m/>
    <m/>
    <n v="7"/>
    <n v="2"/>
    <n v="10"/>
    <n v="1"/>
    <n v="5"/>
    <d v="2022-01-22T00:00:00"/>
    <s v="New"/>
    <s v="Commit"/>
    <x v="4"/>
    <x v="0"/>
    <n v="2"/>
    <n v="5"/>
    <n v="5"/>
    <n v="0"/>
    <n v="1.25"/>
    <n v="1.25"/>
    <n v="1.25"/>
    <n v="1.25"/>
    <n v="0.5"/>
    <n v="0"/>
  </r>
  <r>
    <m/>
    <m/>
    <m/>
    <m/>
    <m/>
    <m/>
    <m/>
    <m/>
    <m/>
    <m/>
    <m/>
    <m/>
    <m/>
    <x v="3"/>
    <x v="1"/>
    <m/>
    <m/>
    <m/>
    <m/>
    <m/>
    <m/>
    <m/>
    <m/>
    <m/>
    <m/>
  </r>
  <r>
    <m/>
    <m/>
    <m/>
    <m/>
    <m/>
    <m/>
    <m/>
    <m/>
    <m/>
    <m/>
    <m/>
    <m/>
    <m/>
    <x v="3"/>
    <x v="1"/>
    <m/>
    <m/>
    <m/>
    <m/>
    <m/>
    <m/>
    <m/>
    <m/>
    <m/>
    <m/>
  </r>
  <r>
    <n v="471077"/>
    <s v="Add SOFR Projections to Admin (Repurpose the Libor Projections in Admin) - REWORK (vendor)"/>
    <m/>
    <m/>
    <m/>
    <n v="6"/>
    <n v="1"/>
    <n v="5"/>
    <n v="0"/>
    <n v="0"/>
    <d v="2021-12-17T00:00:00"/>
    <s v="Closed"/>
    <s v="Commit"/>
    <x v="4"/>
    <x v="2"/>
    <n v="1"/>
    <n v="2"/>
    <n v="2"/>
    <n v="0"/>
    <n v="0"/>
    <n v="0"/>
    <n v="0"/>
    <n v="0"/>
    <n v="1"/>
    <n v="6"/>
  </r>
  <r>
    <n v="467032"/>
    <s v="Add additional property-level fields for NGBS and Green Globes in Backshop - Part 2 (NLS &amp; Cubes)"/>
    <m/>
    <m/>
    <m/>
    <n v="5"/>
    <n v="2"/>
    <n v="10"/>
    <n v="0"/>
    <n v="10"/>
    <d v="2021-12-11T00:00:00"/>
    <s v="Closed"/>
    <s v="Commit"/>
    <x v="4"/>
    <x v="2"/>
    <n v="1"/>
    <n v="1"/>
    <n v="1"/>
    <n v="10"/>
    <n v="0"/>
    <n v="0"/>
    <n v="0"/>
    <n v="0"/>
    <n v="1"/>
    <n v="5"/>
  </r>
  <r>
    <n v="368434"/>
    <s v="Add Sponsor to LMW"/>
    <m/>
    <m/>
    <m/>
    <n v="4"/>
    <n v="1"/>
    <n v="5"/>
    <n v="0"/>
    <n v="0"/>
    <d v="2021-12-11T00:00:00"/>
    <s v="Closed"/>
    <s v="Commit"/>
    <x v="4"/>
    <x v="2"/>
    <n v="1"/>
    <n v="1"/>
    <n v="1"/>
    <n v="0"/>
    <n v="0"/>
    <n v="0"/>
    <n v="0"/>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B995E-355E-4212-8B81-77F0F67184EB}"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1:E9" firstHeaderRow="1" firstDataRow="2" firstDataCol="1"/>
  <pivotFields count="15">
    <pivotField dataField="1" showAll="0"/>
    <pivotField axis="axisRow" showAll="0">
      <items count="381">
        <item m="1" x="82"/>
        <item m="1" x="306"/>
        <item m="1" x="323"/>
        <item m="1" x="334"/>
        <item m="1" x="332"/>
        <item m="1" x="248"/>
        <item m="1" x="285"/>
        <item m="1" x="38"/>
        <item m="1" x="74"/>
        <item m="1" x="126"/>
        <item m="1" x="266"/>
        <item m="1" x="164"/>
        <item m="1" x="226"/>
        <item m="1" x="179"/>
        <item m="1" x="136"/>
        <item m="1" x="40"/>
        <item m="1" x="49"/>
        <item m="1" x="348"/>
        <item m="1" x="140"/>
        <item m="1" x="117"/>
        <item m="1" x="327"/>
        <item m="1" x="337"/>
        <item m="1" x="69"/>
        <item m="1" x="152"/>
        <item m="1" x="267"/>
        <item m="1" x="220"/>
        <item m="1" x="42"/>
        <item m="1" x="214"/>
        <item m="1" x="256"/>
        <item m="1" x="367"/>
        <item m="1" x="176"/>
        <item m="1" x="286"/>
        <item m="1" x="245"/>
        <item m="1" x="167"/>
        <item m="1" x="133"/>
        <item m="1" x="303"/>
        <item m="1" x="145"/>
        <item m="1" x="138"/>
        <item m="1" x="350"/>
        <item m="1" x="166"/>
        <item m="1" x="247"/>
        <item m="1" x="112"/>
        <item m="1" x="321"/>
        <item m="1" x="268"/>
        <item m="1" x="193"/>
        <item m="1" x="79"/>
        <item m="1" x="346"/>
        <item m="1" x="174"/>
        <item m="1" x="192"/>
        <item m="1" x="269"/>
        <item m="1" x="191"/>
        <item m="1" x="222"/>
        <item m="1" x="137"/>
        <item m="1" x="274"/>
        <item m="1" x="374"/>
        <item m="1" x="181"/>
        <item m="1" x="124"/>
        <item m="1" x="341"/>
        <item m="1" x="338"/>
        <item m="1" x="80"/>
        <item m="1" x="55"/>
        <item m="1" x="154"/>
        <item m="1" x="273"/>
        <item m="1" x="143"/>
        <item m="1" x="78"/>
        <item m="1" x="314"/>
        <item m="1" x="135"/>
        <item m="1" x="56"/>
        <item m="1" x="73"/>
        <item m="1" x="51"/>
        <item m="1" x="178"/>
        <item m="1" x="368"/>
        <item m="1" x="184"/>
        <item m="1" x="366"/>
        <item x="13"/>
        <item x="2"/>
        <item x="1"/>
        <item m="1" x="113"/>
        <item m="1" x="253"/>
        <item m="1" x="292"/>
        <item x="8"/>
        <item m="1" x="310"/>
        <item m="1" x="99"/>
        <item m="1" x="311"/>
        <item x="32"/>
        <item m="1" x="155"/>
        <item m="1" x="276"/>
        <item m="1" x="195"/>
        <item m="1" x="142"/>
        <item m="1" x="349"/>
        <item m="1" x="61"/>
        <item m="1" x="370"/>
        <item m="1" x="46"/>
        <item m="1" x="200"/>
        <item m="1" x="251"/>
        <item m="1" x="287"/>
        <item m="1" x="233"/>
        <item m="1" x="304"/>
        <item m="1" x="237"/>
        <item m="1" x="68"/>
        <item m="1" x="189"/>
        <item m="1" x="236"/>
        <item m="1" x="76"/>
        <item m="1" x="202"/>
        <item m="1" x="150"/>
        <item m="1" x="258"/>
        <item m="1" x="92"/>
        <item m="1" x="109"/>
        <item m="1" x="309"/>
        <item m="1" x="289"/>
        <item m="1" x="376"/>
        <item m="1" x="186"/>
        <item m="1" x="203"/>
        <item m="1" x="180"/>
        <item m="1" x="375"/>
        <item m="1" x="132"/>
        <item m="1" x="224"/>
        <item m="1" x="65"/>
        <item m="1" x="139"/>
        <item m="1" x="70"/>
        <item m="1" x="351"/>
        <item m="1" x="94"/>
        <item m="1" x="275"/>
        <item m="1" x="208"/>
        <item m="1" x="95"/>
        <item m="1" x="96"/>
        <item m="1" x="373"/>
        <item m="1" x="277"/>
        <item m="1" x="271"/>
        <item m="1" x="120"/>
        <item m="1" x="185"/>
        <item m="1" x="330"/>
        <item m="1" x="329"/>
        <item m="1" x="328"/>
        <item x="37"/>
        <item m="1" x="98"/>
        <item m="1" x="122"/>
        <item m="1" x="223"/>
        <item m="1" x="106"/>
        <item m="1" x="159"/>
        <item m="1" x="272"/>
        <item m="1" x="175"/>
        <item m="1" x="280"/>
        <item m="1" x="241"/>
        <item m="1" x="318"/>
        <item m="1" x="336"/>
        <item m="1" x="307"/>
        <item m="1" x="300"/>
        <item m="1" x="359"/>
        <item m="1" x="246"/>
        <item m="1" x="83"/>
        <item m="1" x="219"/>
        <item m="1" x="243"/>
        <item m="1" x="261"/>
        <item m="1" x="229"/>
        <item m="1" x="295"/>
        <item m="1" x="86"/>
        <item m="1" x="252"/>
        <item m="1" x="157"/>
        <item m="1" x="238"/>
        <item m="1" x="361"/>
        <item m="1" x="100"/>
        <item m="1" x="284"/>
        <item m="1" x="365"/>
        <item m="1" x="255"/>
        <item m="1" x="110"/>
        <item m="1" x="125"/>
        <item m="1" x="147"/>
        <item m="1" x="198"/>
        <item m="1" x="230"/>
        <item m="1" x="116"/>
        <item m="1" x="52"/>
        <item m="1" x="63"/>
        <item m="1" x="168"/>
        <item m="1" x="339"/>
        <item m="1" x="210"/>
        <item m="1" x="291"/>
        <item m="1" x="320"/>
        <item m="1" x="131"/>
        <item m="1" x="232"/>
        <item m="1" x="194"/>
        <item m="1" x="47"/>
        <item m="1" x="227"/>
        <item m="1" x="81"/>
        <item m="1" x="294"/>
        <item m="1" x="93"/>
        <item m="1" x="108"/>
        <item m="1" x="293"/>
        <item m="1" x="377"/>
        <item m="1" x="188"/>
        <item m="1" x="344"/>
        <item m="1" x="228"/>
        <item m="1" x="114"/>
        <item m="1" x="97"/>
        <item m="1" x="218"/>
        <item m="1" x="333"/>
        <item m="1" x="225"/>
        <item m="1" x="312"/>
        <item m="1" x="163"/>
        <item m="1" x="319"/>
        <item m="1" x="305"/>
        <item m="1" x="249"/>
        <item m="1" x="250"/>
        <item m="1" x="354"/>
        <item m="1" x="128"/>
        <item m="1" x="172"/>
        <item m="1" x="48"/>
        <item m="1" x="187"/>
        <item m="1" x="264"/>
        <item m="1" x="119"/>
        <item m="1" x="244"/>
        <item m="1" x="206"/>
        <item m="1" x="242"/>
        <item m="1" x="331"/>
        <item m="1" x="204"/>
        <item m="1" x="335"/>
        <item m="1" x="259"/>
        <item m="1" x="281"/>
        <item m="1" x="315"/>
        <item m="1" x="67"/>
        <item m="1" x="270"/>
        <item m="1" x="91"/>
        <item m="1" x="235"/>
        <item m="1" x="345"/>
        <item m="1" x="134"/>
        <item m="1" x="160"/>
        <item m="1" x="355"/>
        <item m="1" x="317"/>
        <item x="18"/>
        <item m="1" x="107"/>
        <item m="1" x="39"/>
        <item m="1" x="282"/>
        <item m="1" x="141"/>
        <item m="1" x="356"/>
        <item m="1" x="88"/>
        <item m="1" x="369"/>
        <item m="1" x="156"/>
        <item m="1" x="340"/>
        <item m="1" x="43"/>
        <item m="1" x="190"/>
        <item m="1" x="71"/>
        <item m="1" x="322"/>
        <item m="1" x="201"/>
        <item m="1" x="151"/>
        <item m="1" x="177"/>
        <item m="1" x="239"/>
        <item m="1" x="358"/>
        <item m="1" x="144"/>
        <item m="1" x="207"/>
        <item m="1" x="64"/>
        <item x="0"/>
        <item x="3"/>
        <item x="4"/>
        <item x="5"/>
        <item x="6"/>
        <item x="7"/>
        <item m="1" x="129"/>
        <item m="1" x="217"/>
        <item m="1" x="216"/>
        <item m="1" x="364"/>
        <item m="1" x="105"/>
        <item m="1" x="257"/>
        <item m="1" x="324"/>
        <item m="1" x="171"/>
        <item m="1" x="169"/>
        <item m="1" x="342"/>
        <item m="1" x="278"/>
        <item m="1" x="182"/>
        <item m="1" x="325"/>
        <item m="1" x="127"/>
        <item m="1" x="153"/>
        <item m="1" x="212"/>
        <item m="1" x="90"/>
        <item m="1" x="87"/>
        <item m="1" x="148"/>
        <item m="1" x="162"/>
        <item m="1" x="123"/>
        <item m="1" x="75"/>
        <item m="1" x="288"/>
        <item m="1" x="84"/>
        <item x="14"/>
        <item x="15"/>
        <item x="16"/>
        <item x="17"/>
        <item m="1" x="260"/>
        <item m="1" x="360"/>
        <item m="1" x="170"/>
        <item m="1" x="231"/>
        <item m="1" x="379"/>
        <item m="1" x="363"/>
        <item m="1" x="103"/>
        <item m="1" x="102"/>
        <item m="1" x="101"/>
        <item m="1" x="343"/>
        <item m="1" x="146"/>
        <item m="1" x="85"/>
        <item m="1" x="378"/>
        <item m="1" x="254"/>
        <item m="1" x="283"/>
        <item m="1" x="121"/>
        <item m="1" x="308"/>
        <item m="1" x="77"/>
        <item m="1" x="161"/>
        <item m="1" x="130"/>
        <item m="1" x="53"/>
        <item m="1" x="213"/>
        <item m="1" x="313"/>
        <item m="1" x="66"/>
        <item m="1" x="211"/>
        <item m="1" x="165"/>
        <item m="1" x="118"/>
        <item m="1" x="158"/>
        <item m="1" x="215"/>
        <item m="1" x="234"/>
        <item m="1" x="352"/>
        <item m="1" x="301"/>
        <item m="1" x="54"/>
        <item m="1" x="57"/>
        <item m="1" x="104"/>
        <item m="1" x="72"/>
        <item m="1" x="371"/>
        <item m="1" x="372"/>
        <item m="1" x="149"/>
        <item m="1" x="362"/>
        <item m="1" x="353"/>
        <item m="1" x="298"/>
        <item m="1" x="41"/>
        <item m="1" x="240"/>
        <item m="1" x="173"/>
        <item m="1" x="262"/>
        <item m="1" x="221"/>
        <item m="1" x="60"/>
        <item m="1" x="59"/>
        <item m="1" x="58"/>
        <item m="1" x="115"/>
        <item m="1" x="326"/>
        <item m="1" x="199"/>
        <item m="1" x="44"/>
        <item m="1" x="205"/>
        <item m="1" x="347"/>
        <item m="1" x="62"/>
        <item m="1" x="45"/>
        <item m="1" x="316"/>
        <item m="1" x="290"/>
        <item m="1" x="279"/>
        <item m="1" x="209"/>
        <item m="1" x="302"/>
        <item m="1" x="89"/>
        <item m="1" x="111"/>
        <item x="9"/>
        <item x="10"/>
        <item x="11"/>
        <item x="12"/>
        <item x="19"/>
        <item x="20"/>
        <item x="21"/>
        <item x="22"/>
        <item x="23"/>
        <item x="24"/>
        <item x="25"/>
        <item x="26"/>
        <item x="27"/>
        <item x="28"/>
        <item x="29"/>
        <item x="30"/>
        <item x="31"/>
        <item x="33"/>
        <item x="34"/>
        <item m="1" x="183"/>
        <item m="1" x="197"/>
        <item x="36"/>
        <item m="1" x="50"/>
        <item m="1" x="296"/>
        <item m="1" x="196"/>
        <item m="1" x="297"/>
        <item m="1" x="357"/>
        <item x="35"/>
        <item m="1" x="263"/>
        <item m="1" x="265"/>
        <item m="1" x="299"/>
        <item t="default"/>
      </items>
    </pivotField>
    <pivotField showAll="0"/>
    <pivotField showAll="0"/>
    <pivotField showAll="0"/>
    <pivotField showAll="0"/>
    <pivotField showAll="0"/>
    <pivotField showAll="0"/>
    <pivotField showAll="0"/>
    <pivotField showAll="0"/>
    <pivotField numFmtId="22" showAll="0"/>
    <pivotField showAll="0"/>
    <pivotField showAll="0"/>
    <pivotField axis="axisRow" showAll="0">
      <items count="58">
        <item sd="0" m="1" x="43"/>
        <item sd="0" m="1" x="14"/>
        <item sd="0" m="1" x="10"/>
        <item sd="0" m="1" x="12"/>
        <item sd="0" m="1" x="30"/>
        <item sd="0" m="1" x="17"/>
        <item sd="0" m="1" x="53"/>
        <item sd="0" m="1" x="51"/>
        <item sd="0" m="1" x="36"/>
        <item sd="0" x="4"/>
        <item sd="0" m="1" x="26"/>
        <item m="1" x="35"/>
        <item sd="0" m="1" x="23"/>
        <item sd="0" m="1" x="28"/>
        <item sd="0" m="1" x="34"/>
        <item sd="0" m="1" x="16"/>
        <item sd="0" m="1" x="19"/>
        <item sd="0" m="1" x="32"/>
        <item sd="0" m="1" x="18"/>
        <item sd="0" m="1" x="40"/>
        <item sd="0" x="5"/>
        <item sd="0" m="1" x="38"/>
        <item sd="0" m="1" x="46"/>
        <item sd="0" x="1"/>
        <item sd="0" m="1" x="49"/>
        <item sd="0" m="1" x="25"/>
        <item sd="0" m="1" x="24"/>
        <item sd="0" m="1" x="6"/>
        <item sd="0" m="1" x="52"/>
        <item sd="0" m="1" x="8"/>
        <item sd="0" m="1" x="41"/>
        <item sd="0" m="1" x="15"/>
        <item sd="0" m="1" x="44"/>
        <item sd="0" m="1" x="20"/>
        <item sd="0" m="1" x="22"/>
        <item sd="0" m="1" x="29"/>
        <item sd="0" m="1" x="21"/>
        <item sd="0" m="1" x="56"/>
        <item sd="0" m="1" x="54"/>
        <item sd="0" x="0"/>
        <item sd="0" m="1" x="47"/>
        <item sd="0" m="1" x="50"/>
        <item sd="0" m="1" x="37"/>
        <item sd="0" m="1" x="33"/>
        <item sd="0" m="1" x="31"/>
        <item sd="0" m="1" x="27"/>
        <item sd="0" x="3"/>
        <item sd="0" m="1" x="9"/>
        <item sd="0" x="2"/>
        <item m="1" x="39"/>
        <item sd="0" m="1" x="13"/>
        <item m="1" x="42"/>
        <item m="1" x="45"/>
        <item m="1" x="48"/>
        <item m="1" x="55"/>
        <item m="1" x="7"/>
        <item m="1" x="11"/>
        <item t="default"/>
      </items>
    </pivotField>
    <pivotField axis="axisCol" showAll="0">
      <items count="9">
        <item m="1" x="3"/>
        <item x="0"/>
        <item x="2"/>
        <item m="1" x="5"/>
        <item m="1" x="4"/>
        <item x="1"/>
        <item m="1" x="7"/>
        <item m="1" x="6"/>
        <item t="default"/>
      </items>
    </pivotField>
  </pivotFields>
  <rowFields count="2">
    <field x="13"/>
    <field x="1"/>
  </rowFields>
  <rowItems count="7">
    <i>
      <x v="9"/>
    </i>
    <i>
      <x v="20"/>
    </i>
    <i>
      <x v="23"/>
    </i>
    <i>
      <x v="39"/>
    </i>
    <i>
      <x v="46"/>
    </i>
    <i>
      <x v="48"/>
    </i>
    <i t="grand">
      <x/>
    </i>
  </rowItems>
  <colFields count="1">
    <field x="14"/>
  </colFields>
  <colItems count="4">
    <i>
      <x v="1"/>
    </i>
    <i>
      <x v="2"/>
    </i>
    <i>
      <x v="5"/>
    </i>
    <i t="grand">
      <x/>
    </i>
  </colItems>
  <dataFields count="1">
    <dataField name="Count of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73DB1E-416D-4DFE-85CC-B89FD64B7487}"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olHeaderCaption="">
  <location ref="A140:E148" firstHeaderRow="1" firstDataRow="2" firstDataCol="1"/>
  <pivotFields count="25">
    <pivotField dataField="1" showAll="0"/>
    <pivotField showAll="0"/>
    <pivotField showAll="0"/>
    <pivotField showAll="0"/>
    <pivotField showAll="0"/>
    <pivotField showAll="0"/>
    <pivotField showAll="0"/>
    <pivotField showAll="0"/>
    <pivotField showAll="0"/>
    <pivotField showAll="0"/>
    <pivotField numFmtId="22" showAll="0"/>
    <pivotField showAll="0"/>
    <pivotField showAll="0"/>
    <pivotField axis="axisRow" showAll="0">
      <items count="46">
        <item m="1" x="40"/>
        <item m="1" x="12"/>
        <item m="1" x="26"/>
        <item m="1" x="9"/>
        <item m="1" x="23"/>
        <item m="1" x="7"/>
        <item m="1" x="10"/>
        <item m="1" x="16"/>
        <item m="1" x="43"/>
        <item m="1" x="35"/>
        <item m="1" x="24"/>
        <item m="1" x="41"/>
        <item x="4"/>
        <item m="1" x="25"/>
        <item m="1" x="34"/>
        <item m="1" x="28"/>
        <item m="1" x="33"/>
        <item x="5"/>
        <item m="1" x="17"/>
        <item m="1" x="30"/>
        <item m="1" x="21"/>
        <item m="1" x="44"/>
        <item m="1" x="20"/>
        <item m="1" x="14"/>
        <item m="1" x="18"/>
        <item m="1" x="39"/>
        <item m="1" x="19"/>
        <item m="1" x="31"/>
        <item x="3"/>
        <item m="1" x="15"/>
        <item m="1" x="37"/>
        <item m="1" x="42"/>
        <item m="1" x="32"/>
        <item m="1" x="36"/>
        <item m="1" x="13"/>
        <item m="1" x="6"/>
        <item m="1" x="11"/>
        <item x="0"/>
        <item x="1"/>
        <item x="2"/>
        <item m="1" x="38"/>
        <item m="1" x="29"/>
        <item m="1" x="8"/>
        <item m="1" x="22"/>
        <item m="1" x="27"/>
        <item t="default"/>
      </items>
    </pivotField>
    <pivotField axis="axisCol" showAll="0">
      <items count="10">
        <item m="1" x="3"/>
        <item x="0"/>
        <item x="2"/>
        <item m="1" x="5"/>
        <item m="1" x="4"/>
        <item m="1" x="6"/>
        <item x="1"/>
        <item m="1" x="8"/>
        <item m="1" x="7"/>
        <item t="default"/>
      </items>
    </pivotField>
    <pivotField showAll="0"/>
    <pivotField showAll="0"/>
    <pivotField showAll="0"/>
    <pivotField showAll="0"/>
    <pivotField numFmtId="1" showAll="0"/>
    <pivotField numFmtId="1" showAll="0"/>
    <pivotField numFmtId="1" showAll="0"/>
    <pivotField numFmtId="1" showAll="0"/>
    <pivotField showAll="0"/>
    <pivotField showAll="0"/>
  </pivotFields>
  <rowFields count="1">
    <field x="13"/>
  </rowFields>
  <rowItems count="7">
    <i>
      <x v="12"/>
    </i>
    <i>
      <x v="17"/>
    </i>
    <i>
      <x v="28"/>
    </i>
    <i>
      <x v="37"/>
    </i>
    <i>
      <x v="38"/>
    </i>
    <i>
      <x v="39"/>
    </i>
    <i t="grand">
      <x/>
    </i>
  </rowItems>
  <colFields count="1">
    <field x="14"/>
  </colFields>
  <colItems count="4">
    <i>
      <x v="1"/>
    </i>
    <i>
      <x v="2"/>
    </i>
    <i>
      <x v="6"/>
    </i>
    <i t="grand">
      <x/>
    </i>
  </colItems>
  <dataFields count="1">
    <dataField name="Category-Team" fld="0" subtotal="count" baseField="14" baseItem="0"/>
  </dataFields>
  <formats count="1">
    <format dxfId="18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EADA79-E8EE-4A68-B2E9-2C242909D9DE}"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E8" firstHeaderRow="0" firstDataRow="1" firstDataCol="1"/>
  <pivotFields count="25">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22">
        <item x="4"/>
        <item m="1" x="14"/>
        <item m="1" x="17"/>
        <item x="5"/>
        <item m="1" x="10"/>
        <item m="1" x="12"/>
        <item x="0"/>
        <item m="1" x="11"/>
        <item m="1" x="20"/>
        <item x="3"/>
        <item x="1"/>
        <item m="1" x="13"/>
        <item m="1" x="6"/>
        <item m="1" x="9"/>
        <item m="1" x="18"/>
        <item m="1" x="16"/>
        <item m="1" x="8"/>
        <item x="2"/>
        <item m="1" x="19"/>
        <item m="1" x="7"/>
        <item m="1" x="15"/>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s>
  <rowFields count="1">
    <field x="13"/>
  </rowFields>
  <rowItems count="7">
    <i>
      <x/>
    </i>
    <i>
      <x v="3"/>
    </i>
    <i>
      <x v="6"/>
    </i>
    <i>
      <x v="9"/>
    </i>
    <i>
      <x v="10"/>
    </i>
    <i>
      <x v="17"/>
    </i>
    <i t="grand">
      <x/>
    </i>
  </rowItems>
  <colFields count="1">
    <field x="-2"/>
  </colFields>
  <colItems count="4">
    <i>
      <x/>
    </i>
    <i i="1">
      <x v="1"/>
    </i>
    <i i="2">
      <x v="2"/>
    </i>
    <i i="3">
      <x v="3"/>
    </i>
  </colItems>
  <dataFields count="4">
    <dataField name="Count of ID" fld="0" subtotal="count" baseField="0" baseItem="0"/>
    <dataField name="Sum of % Complete" fld="23" baseField="0" baseItem="0"/>
    <dataField name="Sum of Planned Business Value" fld="5" baseField="0" baseItem="0"/>
    <dataField name="Sum of Actual Business Valu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1</v>
  </rv>
  <rv s="1">
    <v>2</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6" dT="2022-02-07T10:15:53.44" personId="{93B78D5C-5F48-47EA-B804-36218B7D9482}" id="{3823AF55-9316-40C3-AA1B-CF8100BCAB07}">
    <text>Proof automation can be renamed to script verification and story points can be 1</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2-01-10T18:05:30.44" personId="{8664009C-6A62-41BB-A066-4392AC6DD2C6}" id="{29644D1C-E6DA-424E-A97F-CC77D3B6C53F}">
    <text>manual ( H= J for beginning). Periodically manually reduce</text>
  </threadedComment>
  <threadedComment ref="N2" dT="2022-01-10T18:09:01.09" personId="{8664009C-6A62-41BB-A066-4392AC6DD2C6}" id="{827470E2-F0F2-4D7B-B7B6-D2227B8CC104}">
    <text>commit: - as per team, this will be done
stretch - less confident; ongoing
ongoing features - TBD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ev.azure.com/MetLife-Investments/Core%20Data%20Services/_queries/query-edit/1defbd4d-1c5e-46b0-9851-798492d34844/"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EC3D-3B01-41B3-8E87-77D5BAC45DAC}">
  <sheetPr filterMode="1"/>
  <dimension ref="A1:L96"/>
  <sheetViews>
    <sheetView workbookViewId="0">
      <selection activeCell="A40" sqref="A40:N40"/>
    </sheetView>
  </sheetViews>
  <sheetFormatPr defaultRowHeight="15" x14ac:dyDescent="0.25"/>
  <cols>
    <col min="2" max="2" width="6.85546875" bestFit="1" customWidth="1"/>
    <col min="3" max="3" width="51.42578125" customWidth="1"/>
    <col min="4" max="4" width="14.42578125" bestFit="1" customWidth="1"/>
    <col min="9" max="9" width="13.5703125" bestFit="1" customWidth="1"/>
    <col min="11" max="11" width="44.28515625" bestFit="1" customWidth="1"/>
  </cols>
  <sheetData>
    <row r="1" spans="1:12" x14ac:dyDescent="0.25">
      <c r="A1" t="s">
        <v>0</v>
      </c>
      <c r="B1" t="s">
        <v>1</v>
      </c>
      <c r="C1" t="s">
        <v>2</v>
      </c>
      <c r="D1" t="s">
        <v>3</v>
      </c>
      <c r="E1" t="s">
        <v>4</v>
      </c>
      <c r="F1" t="s">
        <v>5</v>
      </c>
      <c r="G1" t="s">
        <v>6</v>
      </c>
      <c r="H1" t="s">
        <v>7</v>
      </c>
      <c r="I1" t="s">
        <v>8</v>
      </c>
      <c r="J1" t="s">
        <v>9</v>
      </c>
      <c r="K1" t="s">
        <v>10</v>
      </c>
      <c r="L1" t="s">
        <v>11</v>
      </c>
    </row>
    <row r="2" spans="1:12" hidden="1" x14ac:dyDescent="0.25">
      <c r="A2" t="e">
        <f>VLOOKUP(B2,'PI Commitments'!#REF!,1,FALSE)</f>
        <v>#REF!</v>
      </c>
      <c r="B2">
        <v>165196</v>
      </c>
      <c r="C2" t="s">
        <v>12</v>
      </c>
      <c r="D2" t="s">
        <v>13</v>
      </c>
      <c r="E2" t="s">
        <v>14</v>
      </c>
      <c r="F2">
        <v>0.5</v>
      </c>
      <c r="G2">
        <v>2</v>
      </c>
      <c r="H2">
        <v>2</v>
      </c>
      <c r="I2" s="53">
        <v>43686</v>
      </c>
      <c r="J2" t="s">
        <v>15</v>
      </c>
      <c r="K2" t="s">
        <v>16</v>
      </c>
      <c r="L2" t="s">
        <v>17</v>
      </c>
    </row>
    <row r="3" spans="1:12" hidden="1" x14ac:dyDescent="0.25">
      <c r="A3" t="e">
        <f>VLOOKUP(B3,'PI Commitments'!#REF!,1,FALSE)</f>
        <v>#REF!</v>
      </c>
      <c r="B3">
        <v>65960</v>
      </c>
      <c r="C3" t="s">
        <v>18</v>
      </c>
      <c r="D3" t="s">
        <v>13</v>
      </c>
      <c r="E3" t="s">
        <v>19</v>
      </c>
      <c r="F3">
        <v>8</v>
      </c>
      <c r="G3">
        <v>1</v>
      </c>
      <c r="H3">
        <v>1</v>
      </c>
      <c r="I3" s="53">
        <v>43694</v>
      </c>
      <c r="J3" t="s">
        <v>15</v>
      </c>
      <c r="K3" t="s">
        <v>20</v>
      </c>
      <c r="L3" t="s">
        <v>21</v>
      </c>
    </row>
    <row r="4" spans="1:12" hidden="1" x14ac:dyDescent="0.25">
      <c r="A4" t="e">
        <f>VLOOKUP(B4,'PI Commitments'!#REF!,1,FALSE)</f>
        <v>#REF!</v>
      </c>
      <c r="B4">
        <v>127851</v>
      </c>
      <c r="C4" t="s">
        <v>22</v>
      </c>
      <c r="D4" t="s">
        <v>13</v>
      </c>
      <c r="E4" t="s">
        <v>23</v>
      </c>
      <c r="F4">
        <v>4</v>
      </c>
      <c r="G4">
        <v>1</v>
      </c>
      <c r="H4">
        <v>2</v>
      </c>
      <c r="I4" s="53">
        <v>43694</v>
      </c>
      <c r="J4" t="s">
        <v>15</v>
      </c>
      <c r="K4" t="s">
        <v>24</v>
      </c>
      <c r="L4" t="s">
        <v>21</v>
      </c>
    </row>
    <row r="5" spans="1:12" hidden="1" x14ac:dyDescent="0.25">
      <c r="A5" t="e">
        <f>VLOOKUP(B5,'PI Commitments'!#REF!,1,FALSE)</f>
        <v>#REF!</v>
      </c>
      <c r="B5">
        <v>49326</v>
      </c>
      <c r="C5" t="s">
        <v>25</v>
      </c>
      <c r="D5" t="s">
        <v>13</v>
      </c>
      <c r="E5" t="s">
        <v>26</v>
      </c>
      <c r="F5">
        <v>3</v>
      </c>
      <c r="G5">
        <v>1</v>
      </c>
      <c r="H5">
        <v>3</v>
      </c>
      <c r="I5" s="53">
        <v>43694</v>
      </c>
      <c r="J5" t="s">
        <v>15</v>
      </c>
      <c r="K5" t="s">
        <v>27</v>
      </c>
      <c r="L5" t="s">
        <v>21</v>
      </c>
    </row>
    <row r="6" spans="1:12" hidden="1" x14ac:dyDescent="0.25">
      <c r="A6" t="e">
        <f>VLOOKUP(B6,'PI Commitments'!#REF!,1,FALSE)</f>
        <v>#REF!</v>
      </c>
      <c r="B6">
        <v>133868</v>
      </c>
      <c r="C6" t="s">
        <v>28</v>
      </c>
      <c r="D6" t="s">
        <v>13</v>
      </c>
      <c r="E6" t="s">
        <v>29</v>
      </c>
      <c r="F6">
        <v>1.75</v>
      </c>
      <c r="G6">
        <v>1</v>
      </c>
      <c r="H6">
        <v>4</v>
      </c>
      <c r="I6" s="53">
        <v>43694</v>
      </c>
      <c r="J6" t="s">
        <v>15</v>
      </c>
      <c r="K6" t="s">
        <v>30</v>
      </c>
      <c r="L6" t="s">
        <v>31</v>
      </c>
    </row>
    <row r="7" spans="1:12" hidden="1" x14ac:dyDescent="0.25">
      <c r="A7" t="e">
        <f>VLOOKUP(B7,'PI Commitments'!#REF!,1,FALSE)</f>
        <v>#REF!</v>
      </c>
      <c r="B7">
        <v>133865</v>
      </c>
      <c r="C7" t="s">
        <v>32</v>
      </c>
      <c r="D7" t="s">
        <v>13</v>
      </c>
      <c r="E7" t="s">
        <v>29</v>
      </c>
      <c r="F7">
        <v>1.667</v>
      </c>
      <c r="G7">
        <v>1</v>
      </c>
      <c r="H7">
        <v>1</v>
      </c>
      <c r="I7" s="53">
        <v>43694</v>
      </c>
      <c r="J7" t="s">
        <v>15</v>
      </c>
      <c r="K7" t="s">
        <v>33</v>
      </c>
      <c r="L7" t="s">
        <v>31</v>
      </c>
    </row>
    <row r="8" spans="1:12" hidden="1" x14ac:dyDescent="0.25">
      <c r="A8" t="e">
        <f>VLOOKUP(B8,'PI Commitments'!#REF!,1,FALSE)</f>
        <v>#REF!</v>
      </c>
      <c r="B8">
        <v>119226</v>
      </c>
      <c r="C8" t="s">
        <v>34</v>
      </c>
      <c r="D8" t="s">
        <v>13</v>
      </c>
      <c r="E8" t="s">
        <v>35</v>
      </c>
      <c r="F8">
        <v>1.2</v>
      </c>
      <c r="G8">
        <v>1</v>
      </c>
      <c r="H8">
        <v>5</v>
      </c>
      <c r="I8" s="53">
        <v>43694</v>
      </c>
      <c r="J8" t="s">
        <v>15</v>
      </c>
      <c r="K8" t="s">
        <v>36</v>
      </c>
      <c r="L8" t="s">
        <v>37</v>
      </c>
    </row>
    <row r="9" spans="1:12" hidden="1" x14ac:dyDescent="0.25">
      <c r="A9" t="e">
        <f>VLOOKUP(B9,'PI Commitments'!#REF!,1,FALSE)</f>
        <v>#REF!</v>
      </c>
      <c r="B9">
        <v>49574</v>
      </c>
      <c r="C9" t="s">
        <v>38</v>
      </c>
      <c r="D9" t="s">
        <v>13</v>
      </c>
      <c r="E9" t="s">
        <v>26</v>
      </c>
      <c r="F9">
        <v>1</v>
      </c>
      <c r="G9">
        <v>1</v>
      </c>
      <c r="H9">
        <v>6</v>
      </c>
      <c r="I9" s="53">
        <v>43694</v>
      </c>
      <c r="J9" t="s">
        <v>15</v>
      </c>
      <c r="K9" t="s">
        <v>39</v>
      </c>
      <c r="L9" t="s">
        <v>17</v>
      </c>
    </row>
    <row r="10" spans="1:12" hidden="1" x14ac:dyDescent="0.25">
      <c r="A10" t="e">
        <f>VLOOKUP(B10,'PI Commitments'!#REF!,1,FALSE)</f>
        <v>#REF!</v>
      </c>
      <c r="B10">
        <v>156184</v>
      </c>
      <c r="C10" t="s">
        <v>40</v>
      </c>
      <c r="D10" t="s">
        <v>13</v>
      </c>
      <c r="E10" t="s">
        <v>41</v>
      </c>
      <c r="F10">
        <v>8</v>
      </c>
      <c r="G10">
        <v>2</v>
      </c>
      <c r="H10">
        <v>1</v>
      </c>
      <c r="I10" s="53">
        <v>43694</v>
      </c>
      <c r="J10" t="s">
        <v>15</v>
      </c>
      <c r="K10" t="s">
        <v>27</v>
      </c>
      <c r="L10" t="s">
        <v>17</v>
      </c>
    </row>
    <row r="11" spans="1:12" hidden="1" x14ac:dyDescent="0.25">
      <c r="A11" t="e">
        <f>VLOOKUP(B11,'PI Commitments'!#REF!,1,FALSE)</f>
        <v>#REF!</v>
      </c>
      <c r="B11">
        <v>156201</v>
      </c>
      <c r="C11" t="s">
        <v>42</v>
      </c>
      <c r="D11" t="s">
        <v>13</v>
      </c>
      <c r="E11" t="s">
        <v>41</v>
      </c>
      <c r="F11">
        <v>8</v>
      </c>
      <c r="G11">
        <v>2</v>
      </c>
      <c r="H11">
        <v>1</v>
      </c>
      <c r="I11" s="53">
        <v>43694</v>
      </c>
      <c r="J11" t="s">
        <v>15</v>
      </c>
      <c r="K11" t="s">
        <v>27</v>
      </c>
      <c r="L11" t="s">
        <v>17</v>
      </c>
    </row>
    <row r="12" spans="1:12" hidden="1" x14ac:dyDescent="0.25">
      <c r="A12" t="e">
        <f>VLOOKUP(B12,'PI Commitments'!#REF!,1,FALSE)</f>
        <v>#REF!</v>
      </c>
      <c r="B12">
        <v>160978</v>
      </c>
      <c r="C12" t="s">
        <v>43</v>
      </c>
      <c r="D12" t="s">
        <v>13</v>
      </c>
      <c r="E12" t="s">
        <v>29</v>
      </c>
      <c r="F12">
        <v>4</v>
      </c>
      <c r="G12">
        <v>2</v>
      </c>
      <c r="H12">
        <v>1</v>
      </c>
      <c r="I12" s="53">
        <v>43694</v>
      </c>
      <c r="J12" t="s">
        <v>15</v>
      </c>
      <c r="K12" t="s">
        <v>44</v>
      </c>
      <c r="L12" t="s">
        <v>31</v>
      </c>
    </row>
    <row r="13" spans="1:12" hidden="1" x14ac:dyDescent="0.25">
      <c r="A13" t="e">
        <f>VLOOKUP(B13,'PI Commitments'!#REF!,1,FALSE)</f>
        <v>#REF!</v>
      </c>
      <c r="B13">
        <v>162295</v>
      </c>
      <c r="C13" t="s">
        <v>45</v>
      </c>
      <c r="D13" t="s">
        <v>13</v>
      </c>
      <c r="E13" t="s">
        <v>19</v>
      </c>
      <c r="F13">
        <v>3</v>
      </c>
      <c r="G13">
        <v>2</v>
      </c>
      <c r="H13">
        <v>1</v>
      </c>
      <c r="I13" s="53">
        <v>43694</v>
      </c>
      <c r="J13" t="s">
        <v>15</v>
      </c>
      <c r="K13" t="s">
        <v>24</v>
      </c>
      <c r="L13" t="s">
        <v>17</v>
      </c>
    </row>
    <row r="14" spans="1:12" hidden="1" x14ac:dyDescent="0.25">
      <c r="A14" t="e">
        <f>VLOOKUP(B14,'PI Commitments'!#REF!,1,FALSE)</f>
        <v>#REF!</v>
      </c>
      <c r="B14">
        <v>132647</v>
      </c>
      <c r="C14" t="s">
        <v>46</v>
      </c>
      <c r="D14" t="s">
        <v>13</v>
      </c>
      <c r="E14" t="s">
        <v>26</v>
      </c>
      <c r="F14">
        <v>3</v>
      </c>
      <c r="G14">
        <v>2</v>
      </c>
      <c r="H14">
        <v>1</v>
      </c>
      <c r="I14" s="53">
        <v>43694</v>
      </c>
      <c r="J14" t="s">
        <v>15</v>
      </c>
      <c r="K14" t="s">
        <v>47</v>
      </c>
      <c r="L14" t="s">
        <v>17</v>
      </c>
    </row>
    <row r="15" spans="1:12" hidden="1" x14ac:dyDescent="0.25">
      <c r="A15" t="e">
        <f>VLOOKUP(B15,'PI Commitments'!#REF!,1,FALSE)</f>
        <v>#REF!</v>
      </c>
      <c r="B15">
        <v>144312</v>
      </c>
      <c r="C15" t="s">
        <v>48</v>
      </c>
      <c r="D15" t="s">
        <v>13</v>
      </c>
      <c r="E15" t="s">
        <v>26</v>
      </c>
      <c r="F15">
        <v>2</v>
      </c>
      <c r="G15">
        <v>2</v>
      </c>
      <c r="H15">
        <v>1</v>
      </c>
      <c r="I15" s="53">
        <v>43694</v>
      </c>
      <c r="J15" t="s">
        <v>15</v>
      </c>
      <c r="K15" t="s">
        <v>27</v>
      </c>
      <c r="L15" t="s">
        <v>17</v>
      </c>
    </row>
    <row r="16" spans="1:12" hidden="1" x14ac:dyDescent="0.25">
      <c r="A16" t="e">
        <f>VLOOKUP(B16,'PI Commitments'!#REF!,1,FALSE)</f>
        <v>#REF!</v>
      </c>
      <c r="B16">
        <v>162296</v>
      </c>
      <c r="C16" t="s">
        <v>49</v>
      </c>
      <c r="D16" t="s">
        <v>13</v>
      </c>
      <c r="E16" t="s">
        <v>19</v>
      </c>
      <c r="F16">
        <v>2</v>
      </c>
      <c r="G16">
        <v>2</v>
      </c>
      <c r="H16">
        <v>1</v>
      </c>
      <c r="I16" s="53">
        <v>43694</v>
      </c>
      <c r="J16" t="s">
        <v>15</v>
      </c>
      <c r="K16" t="s">
        <v>24</v>
      </c>
      <c r="L16" t="s">
        <v>17</v>
      </c>
    </row>
    <row r="17" spans="1:12" hidden="1" x14ac:dyDescent="0.25">
      <c r="A17" t="e">
        <f>VLOOKUP(B17,'PI Commitments'!#REF!,1,FALSE)</f>
        <v>#REF!</v>
      </c>
      <c r="B17">
        <v>119207</v>
      </c>
      <c r="C17" t="s">
        <v>50</v>
      </c>
      <c r="D17" t="s">
        <v>13</v>
      </c>
      <c r="E17" t="s">
        <v>23</v>
      </c>
      <c r="F17">
        <v>1.75</v>
      </c>
      <c r="G17">
        <v>2</v>
      </c>
      <c r="H17">
        <v>4</v>
      </c>
      <c r="I17" s="53">
        <v>43694</v>
      </c>
      <c r="J17" t="s">
        <v>15</v>
      </c>
      <c r="K17" t="s">
        <v>27</v>
      </c>
      <c r="L17" t="s">
        <v>21</v>
      </c>
    </row>
    <row r="18" spans="1:12" hidden="1" x14ac:dyDescent="0.25">
      <c r="A18" t="e">
        <f>VLOOKUP(B18,'PI Commitments'!#REF!,1,FALSE)</f>
        <v>#REF!</v>
      </c>
      <c r="B18">
        <v>113633</v>
      </c>
      <c r="C18" t="s">
        <v>51</v>
      </c>
      <c r="D18" t="s">
        <v>13</v>
      </c>
      <c r="E18" t="s">
        <v>29</v>
      </c>
      <c r="F18">
        <v>1.6</v>
      </c>
      <c r="G18">
        <v>2</v>
      </c>
      <c r="H18">
        <v>1</v>
      </c>
      <c r="I18" s="53">
        <v>43694</v>
      </c>
      <c r="J18" t="s">
        <v>15</v>
      </c>
      <c r="K18" t="s">
        <v>52</v>
      </c>
      <c r="L18" t="s">
        <v>17</v>
      </c>
    </row>
    <row r="19" spans="1:12" hidden="1" x14ac:dyDescent="0.25">
      <c r="A19" t="e">
        <f>VLOOKUP(B19,'PI Commitments'!#REF!,1,FALSE)</f>
        <v>#REF!</v>
      </c>
      <c r="B19">
        <v>61012</v>
      </c>
      <c r="C19" t="s">
        <v>53</v>
      </c>
      <c r="D19" t="s">
        <v>13</v>
      </c>
      <c r="E19" t="s">
        <v>19</v>
      </c>
      <c r="F19">
        <v>1.5</v>
      </c>
      <c r="G19">
        <v>2</v>
      </c>
      <c r="H19">
        <v>2</v>
      </c>
      <c r="I19" s="53">
        <v>43694</v>
      </c>
      <c r="J19" t="s">
        <v>15</v>
      </c>
      <c r="K19" t="s">
        <v>24</v>
      </c>
      <c r="L19" t="s">
        <v>17</v>
      </c>
    </row>
    <row r="20" spans="1:12" hidden="1" x14ac:dyDescent="0.25">
      <c r="A20" t="e">
        <f>VLOOKUP(B20,'PI Commitments'!#REF!,1,FALSE)</f>
        <v>#REF!</v>
      </c>
      <c r="B20">
        <v>61013</v>
      </c>
      <c r="C20" t="s">
        <v>54</v>
      </c>
      <c r="D20" t="s">
        <v>13</v>
      </c>
      <c r="E20" t="s">
        <v>19</v>
      </c>
      <c r="F20">
        <v>1.5</v>
      </c>
      <c r="G20">
        <v>2</v>
      </c>
      <c r="H20">
        <v>2</v>
      </c>
      <c r="I20" s="53">
        <v>43694</v>
      </c>
      <c r="J20" t="s">
        <v>15</v>
      </c>
      <c r="K20" t="s">
        <v>24</v>
      </c>
      <c r="L20" t="s">
        <v>17</v>
      </c>
    </row>
    <row r="21" spans="1:12" hidden="1" x14ac:dyDescent="0.25">
      <c r="A21" t="e">
        <f>VLOOKUP(B21,'PI Commitments'!#REF!,1,FALSE)</f>
        <v>#REF!</v>
      </c>
      <c r="B21">
        <v>120731</v>
      </c>
      <c r="C21" t="s">
        <v>25</v>
      </c>
      <c r="D21" t="s">
        <v>13</v>
      </c>
      <c r="E21" t="s">
        <v>26</v>
      </c>
      <c r="F21">
        <v>1.5</v>
      </c>
      <c r="G21">
        <v>2</v>
      </c>
      <c r="H21">
        <v>6</v>
      </c>
      <c r="I21" s="53">
        <v>43694</v>
      </c>
      <c r="J21" t="s">
        <v>15</v>
      </c>
      <c r="K21" t="s">
        <v>55</v>
      </c>
      <c r="L21" t="s">
        <v>56</v>
      </c>
    </row>
    <row r="22" spans="1:12" hidden="1" x14ac:dyDescent="0.25">
      <c r="A22" t="e">
        <f>VLOOKUP(B22,'PI Commitments'!#REF!,1,FALSE)</f>
        <v>#REF!</v>
      </c>
      <c r="B22">
        <v>84681</v>
      </c>
      <c r="C22" t="s">
        <v>57</v>
      </c>
      <c r="D22" t="s">
        <v>13</v>
      </c>
      <c r="E22" t="s">
        <v>58</v>
      </c>
      <c r="F22">
        <v>1.25</v>
      </c>
      <c r="G22">
        <v>2</v>
      </c>
      <c r="H22">
        <v>4</v>
      </c>
      <c r="I22" s="53">
        <v>43694</v>
      </c>
      <c r="J22" t="s">
        <v>15</v>
      </c>
      <c r="K22" t="s">
        <v>59</v>
      </c>
      <c r="L22" t="s">
        <v>17</v>
      </c>
    </row>
    <row r="23" spans="1:12" hidden="1" x14ac:dyDescent="0.25">
      <c r="A23" t="e">
        <f>VLOOKUP(B23,'PI Commitments'!#REF!,1,FALSE)</f>
        <v>#REF!</v>
      </c>
      <c r="B23">
        <v>159487</v>
      </c>
      <c r="C23" t="s">
        <v>60</v>
      </c>
      <c r="D23" t="s">
        <v>13</v>
      </c>
      <c r="E23" t="s">
        <v>29</v>
      </c>
      <c r="F23">
        <v>1.25</v>
      </c>
      <c r="G23">
        <v>2</v>
      </c>
      <c r="H23">
        <v>4</v>
      </c>
      <c r="I23" s="53">
        <v>43694</v>
      </c>
      <c r="J23" t="s">
        <v>15</v>
      </c>
      <c r="K23" t="s">
        <v>61</v>
      </c>
      <c r="L23" t="s">
        <v>31</v>
      </c>
    </row>
    <row r="24" spans="1:12" hidden="1" x14ac:dyDescent="0.25">
      <c r="A24" t="e">
        <f>VLOOKUP(B24,'PI Commitments'!#REF!,1,FALSE)</f>
        <v>#REF!</v>
      </c>
      <c r="B24">
        <v>154691</v>
      </c>
      <c r="C24" t="s">
        <v>62</v>
      </c>
      <c r="D24" t="s">
        <v>13</v>
      </c>
      <c r="E24" t="s">
        <v>58</v>
      </c>
      <c r="F24">
        <v>1</v>
      </c>
      <c r="G24">
        <v>2</v>
      </c>
      <c r="H24">
        <v>6</v>
      </c>
      <c r="I24" s="53">
        <v>43694</v>
      </c>
      <c r="J24" t="s">
        <v>15</v>
      </c>
      <c r="K24" t="s">
        <v>39</v>
      </c>
      <c r="L24" t="s">
        <v>17</v>
      </c>
    </row>
    <row r="25" spans="1:12" hidden="1" x14ac:dyDescent="0.25">
      <c r="A25" t="e">
        <f>VLOOKUP(B25,'PI Commitments'!#REF!,1,FALSE)</f>
        <v>#REF!</v>
      </c>
      <c r="B25">
        <v>154707</v>
      </c>
      <c r="C25" t="s">
        <v>63</v>
      </c>
      <c r="D25" t="s">
        <v>13</v>
      </c>
      <c r="E25" t="s">
        <v>58</v>
      </c>
      <c r="F25">
        <v>1</v>
      </c>
      <c r="G25">
        <v>2</v>
      </c>
      <c r="H25">
        <v>3</v>
      </c>
      <c r="I25" s="53">
        <v>43694</v>
      </c>
      <c r="J25" t="s">
        <v>15</v>
      </c>
      <c r="K25" t="s">
        <v>39</v>
      </c>
      <c r="L25" t="s">
        <v>17</v>
      </c>
    </row>
    <row r="26" spans="1:12" hidden="1" x14ac:dyDescent="0.25">
      <c r="A26" t="e">
        <f>VLOOKUP(B26,'PI Commitments'!#REF!,1,FALSE)</f>
        <v>#REF!</v>
      </c>
      <c r="B26">
        <v>163521</v>
      </c>
      <c r="C26" t="s">
        <v>64</v>
      </c>
      <c r="D26" t="s">
        <v>13</v>
      </c>
      <c r="E26" t="s">
        <v>58</v>
      </c>
      <c r="F26">
        <v>1</v>
      </c>
      <c r="G26">
        <v>2</v>
      </c>
      <c r="H26">
        <v>5</v>
      </c>
      <c r="I26" s="53">
        <v>43694</v>
      </c>
      <c r="J26" t="s">
        <v>15</v>
      </c>
      <c r="K26" t="s">
        <v>59</v>
      </c>
      <c r="L26" t="s">
        <v>56</v>
      </c>
    </row>
    <row r="27" spans="1:12" hidden="1" x14ac:dyDescent="0.25">
      <c r="A27" t="e">
        <f>VLOOKUP(B27,'PI Commitments'!#REF!,1,FALSE)</f>
        <v>#REF!</v>
      </c>
      <c r="B27">
        <v>136860</v>
      </c>
      <c r="C27" t="s">
        <v>65</v>
      </c>
      <c r="D27" t="s">
        <v>13</v>
      </c>
      <c r="E27" t="s">
        <v>26</v>
      </c>
      <c r="F27">
        <v>1</v>
      </c>
      <c r="G27">
        <v>2</v>
      </c>
      <c r="H27">
        <v>2</v>
      </c>
      <c r="I27" s="53">
        <v>43694</v>
      </c>
      <c r="J27" t="s">
        <v>15</v>
      </c>
      <c r="K27" t="s">
        <v>27</v>
      </c>
      <c r="L27" t="s">
        <v>17</v>
      </c>
    </row>
    <row r="28" spans="1:12" hidden="1" x14ac:dyDescent="0.25">
      <c r="A28" t="e">
        <f>VLOOKUP(B28,'PI Commitments'!#REF!,1,FALSE)</f>
        <v>#REF!</v>
      </c>
      <c r="B28">
        <v>144307</v>
      </c>
      <c r="C28" t="s">
        <v>66</v>
      </c>
      <c r="D28" t="s">
        <v>13</v>
      </c>
      <c r="E28" t="s">
        <v>26</v>
      </c>
      <c r="F28">
        <v>4</v>
      </c>
      <c r="G28">
        <v>3</v>
      </c>
      <c r="H28">
        <v>1</v>
      </c>
      <c r="I28" s="53">
        <v>43694</v>
      </c>
      <c r="J28" t="s">
        <v>15</v>
      </c>
      <c r="K28" t="s">
        <v>27</v>
      </c>
      <c r="L28" t="s">
        <v>17</v>
      </c>
    </row>
    <row r="29" spans="1:12" hidden="1" x14ac:dyDescent="0.25">
      <c r="A29" t="e">
        <f>VLOOKUP(B29,'PI Commitments'!#REF!,1,FALSE)</f>
        <v>#REF!</v>
      </c>
      <c r="B29">
        <v>151392</v>
      </c>
      <c r="C29" t="s">
        <v>67</v>
      </c>
      <c r="D29" t="s">
        <v>13</v>
      </c>
      <c r="E29" t="s">
        <v>26</v>
      </c>
      <c r="F29">
        <v>1</v>
      </c>
      <c r="G29">
        <v>3</v>
      </c>
      <c r="H29">
        <v>1</v>
      </c>
      <c r="I29" s="53">
        <v>43694</v>
      </c>
      <c r="J29" t="s">
        <v>15</v>
      </c>
      <c r="K29" t="s">
        <v>27</v>
      </c>
      <c r="L29" t="s">
        <v>17</v>
      </c>
    </row>
    <row r="30" spans="1:12" x14ac:dyDescent="0.25">
      <c r="A30" t="e">
        <f>VLOOKUP(B30,'PI Commitments'!#REF!,1,FALSE)</f>
        <v>#REF!</v>
      </c>
      <c r="B30">
        <v>169146</v>
      </c>
      <c r="C30" t="s">
        <v>68</v>
      </c>
      <c r="D30" t="s">
        <v>13</v>
      </c>
      <c r="E30" t="s">
        <v>14</v>
      </c>
      <c r="G30">
        <v>1</v>
      </c>
      <c r="I30" s="53">
        <v>43701</v>
      </c>
      <c r="J30" t="s">
        <v>15</v>
      </c>
      <c r="K30" t="s">
        <v>69</v>
      </c>
      <c r="L30" t="s">
        <v>37</v>
      </c>
    </row>
    <row r="31" spans="1:12" hidden="1" x14ac:dyDescent="0.25">
      <c r="A31" t="e">
        <f>VLOOKUP(B31,'PI Commitments'!#REF!,1,FALSE)</f>
        <v>#REF!</v>
      </c>
      <c r="B31">
        <v>134972</v>
      </c>
      <c r="C31" t="s">
        <v>70</v>
      </c>
      <c r="D31" t="s">
        <v>13</v>
      </c>
      <c r="E31" t="s">
        <v>14</v>
      </c>
      <c r="F31">
        <v>2</v>
      </c>
      <c r="G31">
        <v>1</v>
      </c>
      <c r="H31">
        <v>4</v>
      </c>
      <c r="I31" s="53">
        <v>43701</v>
      </c>
      <c r="J31" t="s">
        <v>15</v>
      </c>
      <c r="K31" t="s">
        <v>36</v>
      </c>
      <c r="L31" t="s">
        <v>37</v>
      </c>
    </row>
    <row r="32" spans="1:12" x14ac:dyDescent="0.25">
      <c r="A32" t="e">
        <f>VLOOKUP(B32,'PI Commitments'!#REF!,1,FALSE)</f>
        <v>#REF!</v>
      </c>
      <c r="B32">
        <v>164350</v>
      </c>
      <c r="C32" t="s">
        <v>71</v>
      </c>
      <c r="D32" t="s">
        <v>13</v>
      </c>
      <c r="E32" t="s">
        <v>14</v>
      </c>
      <c r="G32">
        <v>2</v>
      </c>
      <c r="I32" s="53">
        <v>43701</v>
      </c>
      <c r="J32" t="s">
        <v>15</v>
      </c>
      <c r="K32" t="s">
        <v>72</v>
      </c>
      <c r="L32" t="s">
        <v>37</v>
      </c>
    </row>
    <row r="33" spans="1:12" hidden="1" x14ac:dyDescent="0.25">
      <c r="A33" t="e">
        <f>VLOOKUP(B33,'PI Commitments'!#REF!,1,FALSE)</f>
        <v>#REF!</v>
      </c>
      <c r="B33">
        <v>145409</v>
      </c>
      <c r="C33" t="s">
        <v>73</v>
      </c>
      <c r="D33" t="s">
        <v>13</v>
      </c>
      <c r="E33" t="s">
        <v>14</v>
      </c>
      <c r="F33">
        <v>4</v>
      </c>
      <c r="G33">
        <v>2</v>
      </c>
      <c r="H33">
        <v>1</v>
      </c>
      <c r="I33" s="53">
        <v>43701</v>
      </c>
      <c r="J33" t="s">
        <v>15</v>
      </c>
      <c r="K33" t="s">
        <v>74</v>
      </c>
      <c r="L33" t="s">
        <v>37</v>
      </c>
    </row>
    <row r="34" spans="1:12" hidden="1" x14ac:dyDescent="0.25">
      <c r="A34" t="e">
        <f>VLOOKUP(B34,'PI Commitments'!#REF!,1,FALSE)</f>
        <v>#REF!</v>
      </c>
      <c r="B34">
        <v>142570</v>
      </c>
      <c r="C34" t="s">
        <v>75</v>
      </c>
      <c r="D34" t="s">
        <v>13</v>
      </c>
      <c r="E34" t="s">
        <v>14</v>
      </c>
      <c r="F34">
        <v>3</v>
      </c>
      <c r="G34">
        <v>2</v>
      </c>
      <c r="H34">
        <v>2</v>
      </c>
      <c r="I34" s="53">
        <v>43701</v>
      </c>
      <c r="J34" t="s">
        <v>15</v>
      </c>
      <c r="K34" t="s">
        <v>76</v>
      </c>
      <c r="L34" t="s">
        <v>37</v>
      </c>
    </row>
    <row r="35" spans="1:12" hidden="1" x14ac:dyDescent="0.25">
      <c r="A35" t="e">
        <f>VLOOKUP(B35,'PI Commitments'!#REF!,1,FALSE)</f>
        <v>#REF!</v>
      </c>
      <c r="B35">
        <v>146115</v>
      </c>
      <c r="C35" t="s">
        <v>77</v>
      </c>
      <c r="D35" t="s">
        <v>13</v>
      </c>
      <c r="E35" t="s">
        <v>14</v>
      </c>
      <c r="F35">
        <v>2.5</v>
      </c>
      <c r="G35">
        <v>2</v>
      </c>
      <c r="H35">
        <v>2</v>
      </c>
      <c r="I35" s="53">
        <v>43701</v>
      </c>
      <c r="J35" t="s">
        <v>15</v>
      </c>
      <c r="K35" t="s">
        <v>36</v>
      </c>
      <c r="L35" t="s">
        <v>17</v>
      </c>
    </row>
    <row r="36" spans="1:12" hidden="1" x14ac:dyDescent="0.25">
      <c r="A36" t="e">
        <f>VLOOKUP(B36,'PI Commitments'!#REF!,1,FALSE)</f>
        <v>#REF!</v>
      </c>
      <c r="B36">
        <v>159170</v>
      </c>
      <c r="C36" t="s">
        <v>78</v>
      </c>
      <c r="D36" t="s">
        <v>13</v>
      </c>
      <c r="E36" t="s">
        <v>14</v>
      </c>
      <c r="F36">
        <v>2</v>
      </c>
      <c r="G36">
        <v>2</v>
      </c>
      <c r="H36">
        <v>2</v>
      </c>
      <c r="I36" s="53">
        <v>43701</v>
      </c>
      <c r="J36" t="s">
        <v>15</v>
      </c>
      <c r="K36" t="s">
        <v>79</v>
      </c>
      <c r="L36" t="s">
        <v>37</v>
      </c>
    </row>
    <row r="37" spans="1:12" hidden="1" x14ac:dyDescent="0.25">
      <c r="A37" t="e">
        <f>VLOOKUP(B37,'PI Commitments'!#REF!,1,FALSE)</f>
        <v>#REF!</v>
      </c>
      <c r="B37">
        <v>161675</v>
      </c>
      <c r="C37" t="s">
        <v>80</v>
      </c>
      <c r="D37" t="s">
        <v>13</v>
      </c>
      <c r="E37" t="s">
        <v>14</v>
      </c>
      <c r="F37">
        <v>2</v>
      </c>
      <c r="G37">
        <v>2</v>
      </c>
      <c r="H37">
        <v>3</v>
      </c>
      <c r="I37" s="53">
        <v>43701</v>
      </c>
      <c r="J37" t="s">
        <v>15</v>
      </c>
      <c r="K37" t="s">
        <v>81</v>
      </c>
      <c r="L37" t="s">
        <v>37</v>
      </c>
    </row>
    <row r="38" spans="1:12" hidden="1" x14ac:dyDescent="0.25">
      <c r="A38" t="e">
        <f>VLOOKUP(B38,'PI Commitments'!#REF!,1,FALSE)</f>
        <v>#REF!</v>
      </c>
      <c r="B38">
        <v>146600</v>
      </c>
      <c r="C38" t="s">
        <v>82</v>
      </c>
      <c r="D38" t="s">
        <v>13</v>
      </c>
      <c r="E38" t="s">
        <v>14</v>
      </c>
      <c r="F38">
        <v>1.333</v>
      </c>
      <c r="G38">
        <v>2</v>
      </c>
      <c r="H38">
        <v>3</v>
      </c>
      <c r="I38" s="53">
        <v>43701</v>
      </c>
      <c r="J38" t="s">
        <v>15</v>
      </c>
      <c r="K38" t="s">
        <v>83</v>
      </c>
      <c r="L38" t="s">
        <v>17</v>
      </c>
    </row>
    <row r="39" spans="1:12" hidden="1" x14ac:dyDescent="0.25">
      <c r="A39" t="e">
        <f>VLOOKUP(B39,'PI Commitments'!#REF!,1,FALSE)</f>
        <v>#REF!</v>
      </c>
      <c r="B39">
        <v>158916</v>
      </c>
      <c r="C39" t="s">
        <v>84</v>
      </c>
      <c r="D39" t="s">
        <v>13</v>
      </c>
      <c r="E39" t="s">
        <v>14</v>
      </c>
      <c r="F39">
        <v>1.333</v>
      </c>
      <c r="G39">
        <v>2</v>
      </c>
      <c r="H39">
        <v>3</v>
      </c>
      <c r="I39" s="53">
        <v>43701</v>
      </c>
      <c r="J39" t="s">
        <v>15</v>
      </c>
      <c r="K39" t="s">
        <v>76</v>
      </c>
      <c r="L39" t="s">
        <v>37</v>
      </c>
    </row>
    <row r="40" spans="1:12" x14ac:dyDescent="0.25">
      <c r="A40" t="e">
        <f>VLOOKUP(B40,'PI Commitments'!#REF!,1,FALSE)</f>
        <v>#REF!</v>
      </c>
      <c r="B40">
        <v>166747</v>
      </c>
      <c r="C40" t="s">
        <v>85</v>
      </c>
      <c r="D40" t="s">
        <v>13</v>
      </c>
      <c r="E40" t="s">
        <v>14</v>
      </c>
      <c r="F40">
        <v>7</v>
      </c>
      <c r="G40">
        <v>1</v>
      </c>
      <c r="H40">
        <v>1</v>
      </c>
      <c r="I40" s="53">
        <v>43722</v>
      </c>
      <c r="J40" t="s">
        <v>86</v>
      </c>
      <c r="K40" t="s">
        <v>87</v>
      </c>
      <c r="L40" t="s">
        <v>37</v>
      </c>
    </row>
    <row r="41" spans="1:12" hidden="1" x14ac:dyDescent="0.25">
      <c r="A41" t="e">
        <f>VLOOKUP(B41,'PI Commitments'!#REF!,1,FALSE)</f>
        <v>#REF!</v>
      </c>
      <c r="B41">
        <v>173796</v>
      </c>
      <c r="C41" t="s">
        <v>88</v>
      </c>
      <c r="D41" t="s">
        <v>13</v>
      </c>
      <c r="E41" t="s">
        <v>14</v>
      </c>
      <c r="F41">
        <v>3</v>
      </c>
      <c r="G41">
        <v>1</v>
      </c>
      <c r="H41">
        <v>1</v>
      </c>
      <c r="I41" s="53">
        <v>43722</v>
      </c>
      <c r="J41" t="s">
        <v>89</v>
      </c>
      <c r="K41" t="s">
        <v>36</v>
      </c>
      <c r="L41" t="s">
        <v>17</v>
      </c>
    </row>
    <row r="42" spans="1:12" hidden="1" x14ac:dyDescent="0.25">
      <c r="A42" t="e">
        <f>VLOOKUP(B42,'PI Commitments'!#REF!,1,FALSE)</f>
        <v>#REF!</v>
      </c>
      <c r="B42">
        <v>119203</v>
      </c>
      <c r="C42" t="s">
        <v>90</v>
      </c>
      <c r="D42" t="s">
        <v>13</v>
      </c>
      <c r="E42" t="s">
        <v>14</v>
      </c>
      <c r="F42">
        <v>2.25</v>
      </c>
      <c r="G42">
        <v>1</v>
      </c>
      <c r="H42">
        <v>2</v>
      </c>
      <c r="I42" s="53">
        <v>43722</v>
      </c>
      <c r="J42" t="s">
        <v>86</v>
      </c>
      <c r="K42" t="s">
        <v>36</v>
      </c>
      <c r="L42" t="s">
        <v>37</v>
      </c>
    </row>
    <row r="43" spans="1:12" hidden="1" x14ac:dyDescent="0.25">
      <c r="A43" t="e">
        <f>VLOOKUP(B43,'PI Commitments'!#REF!,1,FALSE)</f>
        <v>#REF!</v>
      </c>
      <c r="B43">
        <v>87842</v>
      </c>
      <c r="C43" t="s">
        <v>91</v>
      </c>
      <c r="D43" t="s">
        <v>13</v>
      </c>
      <c r="E43" t="s">
        <v>23</v>
      </c>
      <c r="F43">
        <v>1.6</v>
      </c>
      <c r="G43">
        <v>1</v>
      </c>
      <c r="H43">
        <v>5</v>
      </c>
      <c r="I43" s="53">
        <v>43722</v>
      </c>
      <c r="J43" t="s">
        <v>86</v>
      </c>
      <c r="K43" t="s">
        <v>27</v>
      </c>
      <c r="L43" t="s">
        <v>21</v>
      </c>
    </row>
    <row r="44" spans="1:12" hidden="1" x14ac:dyDescent="0.25">
      <c r="A44" t="e">
        <f>VLOOKUP(B44,'PI Commitments'!#REF!,1,FALSE)</f>
        <v>#REF!</v>
      </c>
      <c r="B44">
        <v>113622</v>
      </c>
      <c r="C44" t="s">
        <v>92</v>
      </c>
      <c r="D44" t="s">
        <v>13</v>
      </c>
      <c r="E44" t="s">
        <v>14</v>
      </c>
      <c r="F44">
        <v>1.2</v>
      </c>
      <c r="G44">
        <v>1</v>
      </c>
      <c r="H44">
        <v>5</v>
      </c>
      <c r="I44" s="53">
        <v>43722</v>
      </c>
      <c r="J44" t="s">
        <v>86</v>
      </c>
      <c r="K44" t="s">
        <v>93</v>
      </c>
      <c r="L44" t="s">
        <v>37</v>
      </c>
    </row>
    <row r="45" spans="1:12" hidden="1" x14ac:dyDescent="0.25">
      <c r="A45" t="e">
        <f>VLOOKUP(B45,'PI Commitments'!#REF!,1,FALSE)</f>
        <v>#REF!</v>
      </c>
      <c r="B45">
        <v>125510</v>
      </c>
      <c r="C45" t="s">
        <v>94</v>
      </c>
      <c r="D45" t="s">
        <v>13</v>
      </c>
      <c r="E45" t="s">
        <v>19</v>
      </c>
      <c r="F45">
        <v>1</v>
      </c>
      <c r="G45">
        <v>1</v>
      </c>
      <c r="H45">
        <v>2</v>
      </c>
      <c r="I45" s="53">
        <v>43722</v>
      </c>
      <c r="J45" t="s">
        <v>86</v>
      </c>
      <c r="K45" t="s">
        <v>47</v>
      </c>
      <c r="L45" t="s">
        <v>21</v>
      </c>
    </row>
    <row r="46" spans="1:12" hidden="1" x14ac:dyDescent="0.25">
      <c r="A46" t="e">
        <f>VLOOKUP(B46,'PI Commitments'!#REF!,1,FALSE)</f>
        <v>#REF!</v>
      </c>
      <c r="B46">
        <v>162142</v>
      </c>
      <c r="C46" t="s">
        <v>95</v>
      </c>
      <c r="D46" t="s">
        <v>13</v>
      </c>
      <c r="E46" t="s">
        <v>96</v>
      </c>
      <c r="F46">
        <v>1</v>
      </c>
      <c r="G46">
        <v>1</v>
      </c>
      <c r="H46">
        <v>8</v>
      </c>
      <c r="I46" s="53">
        <v>43722</v>
      </c>
      <c r="J46" t="s">
        <v>86</v>
      </c>
      <c r="K46" t="s">
        <v>27</v>
      </c>
      <c r="L46" t="s">
        <v>17</v>
      </c>
    </row>
    <row r="47" spans="1:12" hidden="1" x14ac:dyDescent="0.25">
      <c r="A47" t="e">
        <f>VLOOKUP(B47,'PI Commitments'!#REF!,1,FALSE)</f>
        <v>#REF!</v>
      </c>
      <c r="B47">
        <v>163481</v>
      </c>
      <c r="C47" t="s">
        <v>94</v>
      </c>
      <c r="D47" t="s">
        <v>13</v>
      </c>
      <c r="E47" t="s">
        <v>14</v>
      </c>
      <c r="F47">
        <v>1</v>
      </c>
      <c r="G47">
        <v>1</v>
      </c>
      <c r="H47">
        <v>4</v>
      </c>
      <c r="I47" s="53">
        <v>43722</v>
      </c>
      <c r="J47" t="s">
        <v>86</v>
      </c>
      <c r="K47" t="s">
        <v>36</v>
      </c>
      <c r="L47" t="s">
        <v>17</v>
      </c>
    </row>
    <row r="48" spans="1:12" hidden="1" x14ac:dyDescent="0.25">
      <c r="A48" t="e">
        <f>VLOOKUP(B48,'PI Commitments'!#REF!,1,FALSE)</f>
        <v>#REF!</v>
      </c>
      <c r="B48">
        <v>163486</v>
      </c>
      <c r="C48" t="s">
        <v>97</v>
      </c>
      <c r="D48" t="s">
        <v>13</v>
      </c>
      <c r="E48" t="s">
        <v>14</v>
      </c>
      <c r="F48">
        <v>1</v>
      </c>
      <c r="G48">
        <v>1</v>
      </c>
      <c r="H48">
        <v>10</v>
      </c>
      <c r="I48" s="53">
        <v>43722</v>
      </c>
      <c r="J48" t="s">
        <v>86</v>
      </c>
      <c r="K48" t="s">
        <v>36</v>
      </c>
      <c r="L48" t="s">
        <v>17</v>
      </c>
    </row>
    <row r="49" spans="1:12" hidden="1" x14ac:dyDescent="0.25">
      <c r="A49" t="e">
        <f>VLOOKUP(B49,'PI Commitments'!#REF!,1,FALSE)</f>
        <v>#REF!</v>
      </c>
      <c r="B49">
        <v>163488</v>
      </c>
      <c r="C49" t="s">
        <v>97</v>
      </c>
      <c r="D49" t="s">
        <v>13</v>
      </c>
      <c r="E49" t="s">
        <v>19</v>
      </c>
      <c r="F49">
        <v>0.5</v>
      </c>
      <c r="G49">
        <v>1</v>
      </c>
      <c r="H49">
        <v>8</v>
      </c>
      <c r="I49" s="53">
        <v>43722</v>
      </c>
      <c r="J49" t="s">
        <v>86</v>
      </c>
      <c r="K49" t="s">
        <v>47</v>
      </c>
      <c r="L49" t="s">
        <v>17</v>
      </c>
    </row>
    <row r="50" spans="1:12" hidden="1" x14ac:dyDescent="0.25">
      <c r="A50" t="e">
        <f>VLOOKUP(B50,'PI Commitments'!#REF!,1,FALSE)</f>
        <v>#REF!</v>
      </c>
      <c r="B50">
        <v>159483</v>
      </c>
      <c r="C50" t="s">
        <v>98</v>
      </c>
      <c r="D50" t="s">
        <v>13</v>
      </c>
      <c r="E50" t="s">
        <v>26</v>
      </c>
      <c r="F50">
        <v>7</v>
      </c>
      <c r="G50">
        <v>2</v>
      </c>
      <c r="H50">
        <v>1</v>
      </c>
      <c r="I50" s="53">
        <v>43722</v>
      </c>
      <c r="J50" t="s">
        <v>86</v>
      </c>
      <c r="K50" t="s">
        <v>27</v>
      </c>
      <c r="L50" t="s">
        <v>17</v>
      </c>
    </row>
    <row r="51" spans="1:12" x14ac:dyDescent="0.25">
      <c r="A51" t="e">
        <f>VLOOKUP(B51,'PI Commitments'!#REF!,1,FALSE)</f>
        <v>#REF!</v>
      </c>
      <c r="B51">
        <v>170771</v>
      </c>
      <c r="C51" t="s">
        <v>99</v>
      </c>
      <c r="D51" t="s">
        <v>13</v>
      </c>
      <c r="E51" t="s">
        <v>14</v>
      </c>
      <c r="F51">
        <v>3</v>
      </c>
      <c r="G51">
        <v>2</v>
      </c>
      <c r="H51">
        <v>1</v>
      </c>
      <c r="I51" s="53">
        <v>43722</v>
      </c>
      <c r="J51" t="s">
        <v>86</v>
      </c>
      <c r="K51" t="s">
        <v>100</v>
      </c>
      <c r="L51" t="s">
        <v>37</v>
      </c>
    </row>
    <row r="52" spans="1:12" hidden="1" x14ac:dyDescent="0.25">
      <c r="A52" t="e">
        <f>VLOOKUP(B52,'PI Commitments'!#REF!,1,FALSE)</f>
        <v>#REF!</v>
      </c>
      <c r="B52">
        <v>151867</v>
      </c>
      <c r="C52" t="s">
        <v>101</v>
      </c>
      <c r="D52" t="s">
        <v>13</v>
      </c>
      <c r="E52" t="s">
        <v>14</v>
      </c>
      <c r="F52">
        <v>1.4</v>
      </c>
      <c r="G52">
        <v>2</v>
      </c>
      <c r="H52">
        <v>5</v>
      </c>
      <c r="I52" s="53">
        <v>43722</v>
      </c>
      <c r="J52" t="s">
        <v>89</v>
      </c>
      <c r="K52" t="s">
        <v>102</v>
      </c>
      <c r="L52" t="s">
        <v>31</v>
      </c>
    </row>
    <row r="53" spans="1:12" hidden="1" x14ac:dyDescent="0.25">
      <c r="A53" t="e">
        <f>VLOOKUP(B53,'PI Commitments'!#REF!,1,FALSE)</f>
        <v>#REF!</v>
      </c>
      <c r="B53">
        <v>144508</v>
      </c>
      <c r="C53" t="s">
        <v>103</v>
      </c>
      <c r="D53" t="s">
        <v>13</v>
      </c>
      <c r="E53" t="s">
        <v>14</v>
      </c>
      <c r="F53">
        <v>1.4</v>
      </c>
      <c r="G53">
        <v>2</v>
      </c>
      <c r="H53">
        <v>3</v>
      </c>
      <c r="I53" s="53">
        <v>43722</v>
      </c>
      <c r="J53" t="s">
        <v>86</v>
      </c>
      <c r="K53" t="s">
        <v>104</v>
      </c>
      <c r="L53" t="s">
        <v>31</v>
      </c>
    </row>
    <row r="54" spans="1:12" hidden="1" x14ac:dyDescent="0.25">
      <c r="A54" t="e">
        <f>VLOOKUP(B54,'PI Commitments'!#REF!,1,FALSE)</f>
        <v>#REF!</v>
      </c>
      <c r="B54">
        <v>161582</v>
      </c>
      <c r="C54" t="s">
        <v>105</v>
      </c>
      <c r="D54" t="s">
        <v>13</v>
      </c>
      <c r="E54" t="s">
        <v>14</v>
      </c>
      <c r="F54">
        <v>1.333</v>
      </c>
      <c r="G54">
        <v>2</v>
      </c>
      <c r="H54">
        <v>3</v>
      </c>
      <c r="I54" s="53">
        <v>43722</v>
      </c>
      <c r="J54" t="s">
        <v>86</v>
      </c>
      <c r="K54" t="s">
        <v>106</v>
      </c>
      <c r="L54" t="s">
        <v>17</v>
      </c>
    </row>
    <row r="55" spans="1:12" x14ac:dyDescent="0.25">
      <c r="A55" t="e">
        <f>VLOOKUP(B55,'PI Commitments'!#REF!,1,FALSE)</f>
        <v>#REF!</v>
      </c>
      <c r="B55">
        <v>162280</v>
      </c>
      <c r="C55" t="s">
        <v>107</v>
      </c>
      <c r="D55" t="s">
        <v>13</v>
      </c>
      <c r="E55" t="s">
        <v>14</v>
      </c>
      <c r="F55">
        <v>1.2</v>
      </c>
      <c r="G55">
        <v>2</v>
      </c>
      <c r="H55">
        <v>5</v>
      </c>
      <c r="I55" s="53">
        <v>43722</v>
      </c>
      <c r="J55" t="s">
        <v>89</v>
      </c>
      <c r="K55" t="s">
        <v>81</v>
      </c>
      <c r="L55" t="s">
        <v>37</v>
      </c>
    </row>
    <row r="56" spans="1:12" hidden="1" x14ac:dyDescent="0.25">
      <c r="A56" t="e">
        <f>VLOOKUP(B56,'PI Commitments'!#REF!,1,FALSE)</f>
        <v>#REF!</v>
      </c>
      <c r="B56">
        <v>133893</v>
      </c>
      <c r="C56" t="s">
        <v>108</v>
      </c>
      <c r="D56" t="s">
        <v>13</v>
      </c>
      <c r="E56" t="s">
        <v>29</v>
      </c>
      <c r="F56">
        <v>1.167</v>
      </c>
      <c r="G56">
        <v>2</v>
      </c>
      <c r="H56">
        <v>6</v>
      </c>
      <c r="I56" s="53">
        <v>43722</v>
      </c>
      <c r="J56" t="s">
        <v>86</v>
      </c>
      <c r="K56" t="s">
        <v>109</v>
      </c>
      <c r="L56" t="s">
        <v>17</v>
      </c>
    </row>
    <row r="57" spans="1:12" hidden="1" x14ac:dyDescent="0.25">
      <c r="A57" t="e">
        <f>VLOOKUP(B57,'PI Commitments'!#REF!,1,FALSE)</f>
        <v>#REF!</v>
      </c>
      <c r="B57">
        <v>144512</v>
      </c>
      <c r="C57" t="s">
        <v>110</v>
      </c>
      <c r="D57" t="s">
        <v>13</v>
      </c>
      <c r="E57" t="s">
        <v>14</v>
      </c>
      <c r="F57">
        <v>1</v>
      </c>
      <c r="G57">
        <v>2</v>
      </c>
      <c r="H57">
        <v>3</v>
      </c>
      <c r="I57" s="53">
        <v>43722</v>
      </c>
      <c r="J57" t="s">
        <v>89</v>
      </c>
      <c r="K57" t="s">
        <v>111</v>
      </c>
      <c r="L57" t="s">
        <v>31</v>
      </c>
    </row>
    <row r="58" spans="1:12" hidden="1" x14ac:dyDescent="0.25">
      <c r="A58" t="e">
        <f>VLOOKUP(B58,'PI Commitments'!#REF!,1,FALSE)</f>
        <v>#REF!</v>
      </c>
      <c r="B58">
        <v>144513</v>
      </c>
      <c r="C58" t="s">
        <v>112</v>
      </c>
      <c r="D58" t="s">
        <v>13</v>
      </c>
      <c r="E58" t="s">
        <v>14</v>
      </c>
      <c r="F58">
        <v>1</v>
      </c>
      <c r="G58">
        <v>2</v>
      </c>
      <c r="H58">
        <v>2</v>
      </c>
      <c r="I58" s="53">
        <v>43722</v>
      </c>
      <c r="J58" t="s">
        <v>89</v>
      </c>
      <c r="K58" t="s">
        <v>113</v>
      </c>
      <c r="L58" t="s">
        <v>31</v>
      </c>
    </row>
    <row r="59" spans="1:12" hidden="1" x14ac:dyDescent="0.25">
      <c r="A59" t="e">
        <f>VLOOKUP(B59,'PI Commitments'!#REF!,1,FALSE)</f>
        <v>#REF!</v>
      </c>
      <c r="B59">
        <v>158888</v>
      </c>
      <c r="C59" t="s">
        <v>114</v>
      </c>
      <c r="D59" t="s">
        <v>13</v>
      </c>
      <c r="E59" t="s">
        <v>14</v>
      </c>
      <c r="F59">
        <v>1</v>
      </c>
      <c r="G59">
        <v>2</v>
      </c>
      <c r="H59">
        <v>4</v>
      </c>
      <c r="I59" s="53">
        <v>43722</v>
      </c>
      <c r="J59" t="s">
        <v>86</v>
      </c>
      <c r="K59" t="s">
        <v>36</v>
      </c>
      <c r="L59" t="s">
        <v>37</v>
      </c>
    </row>
    <row r="60" spans="1:12" hidden="1" x14ac:dyDescent="0.25">
      <c r="A60" t="e">
        <f>VLOOKUP(B60,'PI Commitments'!#REF!,1,FALSE)</f>
        <v>#REF!</v>
      </c>
      <c r="B60">
        <v>159105</v>
      </c>
      <c r="C60" t="s">
        <v>115</v>
      </c>
      <c r="D60" t="s">
        <v>13</v>
      </c>
      <c r="E60" t="s">
        <v>14</v>
      </c>
      <c r="F60">
        <v>1</v>
      </c>
      <c r="G60">
        <v>2</v>
      </c>
      <c r="H60">
        <v>2</v>
      </c>
      <c r="I60" s="53">
        <v>43722</v>
      </c>
      <c r="J60" t="s">
        <v>86</v>
      </c>
      <c r="K60" t="s">
        <v>79</v>
      </c>
      <c r="L60" t="s">
        <v>37</v>
      </c>
    </row>
    <row r="61" spans="1:12" hidden="1" x14ac:dyDescent="0.25">
      <c r="A61" t="e">
        <f>VLOOKUP(B61,'PI Commitments'!#REF!,1,FALSE)</f>
        <v>#REF!</v>
      </c>
      <c r="B61">
        <v>122060</v>
      </c>
      <c r="C61" t="s">
        <v>116</v>
      </c>
      <c r="D61" t="s">
        <v>13</v>
      </c>
      <c r="E61" t="s">
        <v>14</v>
      </c>
      <c r="F61">
        <v>0.77800000000000002</v>
      </c>
      <c r="G61">
        <v>2</v>
      </c>
      <c r="H61">
        <v>9</v>
      </c>
      <c r="I61" s="53">
        <v>43722</v>
      </c>
      <c r="J61" t="s">
        <v>86</v>
      </c>
      <c r="K61" t="s">
        <v>36</v>
      </c>
      <c r="L61" t="s">
        <v>37</v>
      </c>
    </row>
    <row r="62" spans="1:12" hidden="1" x14ac:dyDescent="0.25">
      <c r="A62" t="e">
        <f>VLOOKUP(B62,'PI Commitments'!#REF!,1,FALSE)</f>
        <v>#REF!</v>
      </c>
      <c r="B62">
        <v>155876</v>
      </c>
      <c r="C62" t="s">
        <v>117</v>
      </c>
      <c r="D62" t="s">
        <v>13</v>
      </c>
      <c r="E62" t="s">
        <v>58</v>
      </c>
      <c r="G62">
        <v>2</v>
      </c>
      <c r="H62">
        <v>8</v>
      </c>
      <c r="I62" s="53">
        <v>43728</v>
      </c>
      <c r="J62" t="s">
        <v>86</v>
      </c>
      <c r="K62" t="s">
        <v>59</v>
      </c>
      <c r="L62" t="s">
        <v>56</v>
      </c>
    </row>
    <row r="63" spans="1:12" hidden="1" x14ac:dyDescent="0.25">
      <c r="A63" t="e">
        <f>VLOOKUP(B63,'PI Commitments'!#REF!,1,FALSE)</f>
        <v>#REF!</v>
      </c>
      <c r="B63">
        <v>162136</v>
      </c>
      <c r="C63" t="s">
        <v>118</v>
      </c>
      <c r="D63" t="s">
        <v>13</v>
      </c>
      <c r="E63" t="s">
        <v>58</v>
      </c>
      <c r="G63">
        <v>2</v>
      </c>
      <c r="H63">
        <v>3</v>
      </c>
      <c r="I63" s="53">
        <v>43728</v>
      </c>
      <c r="J63" t="s">
        <v>89</v>
      </c>
      <c r="K63" t="s">
        <v>119</v>
      </c>
      <c r="L63" t="s">
        <v>17</v>
      </c>
    </row>
    <row r="64" spans="1:12" hidden="1" x14ac:dyDescent="0.25">
      <c r="A64" t="e">
        <f>VLOOKUP(B64,'PI Commitments'!#REF!,1,FALSE)</f>
        <v>#REF!</v>
      </c>
      <c r="B64">
        <v>156000</v>
      </c>
      <c r="C64" t="s">
        <v>120</v>
      </c>
      <c r="D64" t="s">
        <v>13</v>
      </c>
      <c r="E64" t="s">
        <v>26</v>
      </c>
      <c r="F64">
        <v>3</v>
      </c>
      <c r="G64">
        <v>2</v>
      </c>
      <c r="H64">
        <v>2</v>
      </c>
      <c r="I64" s="53">
        <v>43728</v>
      </c>
      <c r="J64" t="s">
        <v>86</v>
      </c>
      <c r="K64" t="s">
        <v>39</v>
      </c>
      <c r="L64" t="s">
        <v>17</v>
      </c>
    </row>
    <row r="65" spans="1:12" hidden="1" x14ac:dyDescent="0.25">
      <c r="A65" t="e">
        <f>VLOOKUP(B65,'PI Commitments'!#REF!,1,FALSE)</f>
        <v>#REF!</v>
      </c>
      <c r="B65">
        <v>150715</v>
      </c>
      <c r="C65" t="s">
        <v>121</v>
      </c>
      <c r="D65" t="s">
        <v>13</v>
      </c>
      <c r="E65" t="s">
        <v>58</v>
      </c>
      <c r="F65">
        <v>3</v>
      </c>
      <c r="G65">
        <v>2</v>
      </c>
      <c r="H65">
        <v>1</v>
      </c>
      <c r="I65" s="53">
        <v>43728</v>
      </c>
      <c r="J65" t="s">
        <v>89</v>
      </c>
      <c r="K65" t="s">
        <v>39</v>
      </c>
      <c r="L65" t="s">
        <v>17</v>
      </c>
    </row>
    <row r="66" spans="1:12" hidden="1" x14ac:dyDescent="0.25">
      <c r="A66" t="e">
        <f>VLOOKUP(B66,'PI Commitments'!#REF!,1,FALSE)</f>
        <v>#REF!</v>
      </c>
      <c r="B66">
        <v>160505</v>
      </c>
      <c r="C66" t="s">
        <v>122</v>
      </c>
      <c r="D66" t="s">
        <v>13</v>
      </c>
      <c r="E66" t="s">
        <v>58</v>
      </c>
      <c r="F66">
        <v>1.333</v>
      </c>
      <c r="G66">
        <v>2</v>
      </c>
      <c r="H66">
        <v>3</v>
      </c>
      <c r="I66" s="53">
        <v>43728</v>
      </c>
      <c r="J66" t="s">
        <v>89</v>
      </c>
      <c r="K66" t="s">
        <v>123</v>
      </c>
      <c r="L66" t="s">
        <v>17</v>
      </c>
    </row>
    <row r="67" spans="1:12" hidden="1" x14ac:dyDescent="0.25">
      <c r="A67" t="e">
        <f>VLOOKUP(B67,'PI Commitments'!#REF!,1,FALSE)</f>
        <v>#REF!</v>
      </c>
      <c r="B67">
        <v>113634</v>
      </c>
      <c r="C67" t="s">
        <v>124</v>
      </c>
      <c r="D67" t="s">
        <v>13</v>
      </c>
      <c r="E67" t="s">
        <v>26</v>
      </c>
      <c r="F67">
        <v>1.167</v>
      </c>
      <c r="G67">
        <v>2</v>
      </c>
      <c r="H67">
        <v>6</v>
      </c>
      <c r="I67" s="53">
        <v>43728</v>
      </c>
      <c r="J67" t="s">
        <v>86</v>
      </c>
      <c r="K67" t="s">
        <v>125</v>
      </c>
      <c r="L67" t="s">
        <v>17</v>
      </c>
    </row>
    <row r="68" spans="1:12" hidden="1" x14ac:dyDescent="0.25">
      <c r="A68" t="e">
        <f>VLOOKUP(B68,'PI Commitments'!#REF!,1,FALSE)</f>
        <v>#REF!</v>
      </c>
      <c r="B68">
        <v>61014</v>
      </c>
      <c r="C68" t="s">
        <v>126</v>
      </c>
      <c r="D68" t="s">
        <v>13</v>
      </c>
      <c r="E68" t="s">
        <v>19</v>
      </c>
      <c r="F68">
        <v>0.83330000000000004</v>
      </c>
      <c r="G68">
        <v>2</v>
      </c>
      <c r="H68">
        <v>6</v>
      </c>
      <c r="I68" s="53">
        <v>43728</v>
      </c>
      <c r="J68" t="s">
        <v>89</v>
      </c>
      <c r="K68" t="s">
        <v>127</v>
      </c>
      <c r="L68" t="s">
        <v>17</v>
      </c>
    </row>
    <row r="69" spans="1:12" x14ac:dyDescent="0.25">
      <c r="A69" t="e">
        <f>VLOOKUP(B69,'PI Commitments'!#REF!,1,FALSE)</f>
        <v>#REF!</v>
      </c>
      <c r="B69">
        <v>160836</v>
      </c>
      <c r="C69" t="s">
        <v>128</v>
      </c>
      <c r="D69" t="s">
        <v>13</v>
      </c>
      <c r="E69" t="s">
        <v>14</v>
      </c>
      <c r="G69">
        <v>2</v>
      </c>
      <c r="I69" s="53">
        <v>43729</v>
      </c>
      <c r="J69" t="s">
        <v>89</v>
      </c>
      <c r="K69" t="s">
        <v>129</v>
      </c>
      <c r="L69" t="s">
        <v>17</v>
      </c>
    </row>
    <row r="70" spans="1:12" hidden="1" x14ac:dyDescent="0.25">
      <c r="A70" t="e">
        <f>VLOOKUP(B70,'PI Commitments'!#REF!,1,FALSE)</f>
        <v>#REF!</v>
      </c>
      <c r="B70">
        <v>143186</v>
      </c>
      <c r="C70" t="s">
        <v>130</v>
      </c>
      <c r="D70" t="s">
        <v>13</v>
      </c>
      <c r="E70" t="s">
        <v>131</v>
      </c>
      <c r="F70">
        <v>1.333</v>
      </c>
      <c r="G70">
        <v>1</v>
      </c>
      <c r="H70">
        <v>4</v>
      </c>
      <c r="I70" s="53">
        <v>43735</v>
      </c>
      <c r="J70" t="s">
        <v>89</v>
      </c>
      <c r="K70" t="s">
        <v>24</v>
      </c>
      <c r="L70" t="s">
        <v>17</v>
      </c>
    </row>
    <row r="71" spans="1:12" hidden="1" x14ac:dyDescent="0.25">
      <c r="A71" t="e">
        <f>VLOOKUP(B71,'PI Commitments'!#REF!,1,FALSE)</f>
        <v>#REF!</v>
      </c>
      <c r="B71">
        <v>161827</v>
      </c>
      <c r="C71" t="s">
        <v>132</v>
      </c>
      <c r="D71" t="s">
        <v>13</v>
      </c>
      <c r="E71" t="s">
        <v>26</v>
      </c>
      <c r="F71">
        <v>2.6669999999999998</v>
      </c>
      <c r="G71">
        <v>1</v>
      </c>
      <c r="H71">
        <v>3</v>
      </c>
      <c r="I71" s="53">
        <v>43736</v>
      </c>
      <c r="J71" t="s">
        <v>89</v>
      </c>
      <c r="K71" t="s">
        <v>133</v>
      </c>
      <c r="L71" t="s">
        <v>17</v>
      </c>
    </row>
    <row r="72" spans="1:12" hidden="1" x14ac:dyDescent="0.25">
      <c r="A72" t="e">
        <f>VLOOKUP(B72,'PI Commitments'!#REF!,1,FALSE)</f>
        <v>#REF!</v>
      </c>
      <c r="B72">
        <v>149953</v>
      </c>
      <c r="C72" t="s">
        <v>134</v>
      </c>
      <c r="D72" t="s">
        <v>13</v>
      </c>
      <c r="E72" t="s">
        <v>26</v>
      </c>
      <c r="F72">
        <v>2.33</v>
      </c>
      <c r="G72">
        <v>1</v>
      </c>
      <c r="H72">
        <v>3</v>
      </c>
      <c r="I72" s="53">
        <v>43736</v>
      </c>
      <c r="J72" t="s">
        <v>89</v>
      </c>
      <c r="K72" t="s">
        <v>135</v>
      </c>
      <c r="L72" t="s">
        <v>17</v>
      </c>
    </row>
    <row r="73" spans="1:12" hidden="1" x14ac:dyDescent="0.25">
      <c r="A73" t="e">
        <f>VLOOKUP(B73,'PI Commitments'!#REF!,1,FALSE)</f>
        <v>#REF!</v>
      </c>
      <c r="B73">
        <v>163297</v>
      </c>
      <c r="C73" t="s">
        <v>136</v>
      </c>
      <c r="D73" t="s">
        <v>13</v>
      </c>
      <c r="E73" t="s">
        <v>19</v>
      </c>
      <c r="F73">
        <v>1.333</v>
      </c>
      <c r="G73">
        <v>1</v>
      </c>
      <c r="H73">
        <v>3</v>
      </c>
      <c r="I73" s="53">
        <v>43736</v>
      </c>
      <c r="J73" t="s">
        <v>89</v>
      </c>
      <c r="K73" t="s">
        <v>20</v>
      </c>
      <c r="L73" t="s">
        <v>21</v>
      </c>
    </row>
    <row r="74" spans="1:12" hidden="1" x14ac:dyDescent="0.25">
      <c r="A74" t="e">
        <f>VLOOKUP(B74,'PI Commitments'!#REF!,1,FALSE)</f>
        <v>#REF!</v>
      </c>
      <c r="B74">
        <v>144510</v>
      </c>
      <c r="C74" t="s">
        <v>137</v>
      </c>
      <c r="D74" t="s">
        <v>13</v>
      </c>
      <c r="E74" t="s">
        <v>14</v>
      </c>
      <c r="F74">
        <v>1</v>
      </c>
      <c r="G74">
        <v>2</v>
      </c>
      <c r="H74">
        <v>2</v>
      </c>
      <c r="I74" s="53">
        <v>43736</v>
      </c>
      <c r="J74" t="s">
        <v>89</v>
      </c>
      <c r="K74" t="s">
        <v>138</v>
      </c>
      <c r="L74" t="s">
        <v>31</v>
      </c>
    </row>
    <row r="75" spans="1:12" hidden="1" x14ac:dyDescent="0.25">
      <c r="A75" t="e">
        <f>VLOOKUP(B75,'PI Commitments'!#REF!,1,FALSE)</f>
        <v>#REF!</v>
      </c>
      <c r="B75">
        <v>144511</v>
      </c>
      <c r="C75" t="s">
        <v>139</v>
      </c>
      <c r="D75" t="s">
        <v>13</v>
      </c>
      <c r="E75" t="s">
        <v>14</v>
      </c>
      <c r="F75">
        <v>1</v>
      </c>
      <c r="G75">
        <v>2</v>
      </c>
      <c r="H75">
        <v>6</v>
      </c>
      <c r="I75" s="53">
        <v>43736</v>
      </c>
      <c r="J75" t="s">
        <v>89</v>
      </c>
      <c r="K75" t="s">
        <v>140</v>
      </c>
      <c r="L75" t="s">
        <v>31</v>
      </c>
    </row>
    <row r="76" spans="1:12" hidden="1" x14ac:dyDescent="0.25">
      <c r="A76" t="e">
        <f>VLOOKUP(B76,'PI Commitments'!#REF!,1,FALSE)</f>
        <v>#REF!</v>
      </c>
      <c r="B76">
        <v>151869</v>
      </c>
      <c r="C76" t="s">
        <v>141</v>
      </c>
      <c r="D76" t="s">
        <v>13</v>
      </c>
      <c r="E76" t="s">
        <v>14</v>
      </c>
      <c r="F76">
        <v>1</v>
      </c>
      <c r="G76">
        <v>2</v>
      </c>
      <c r="H76">
        <v>4</v>
      </c>
      <c r="I76" s="53">
        <v>43736</v>
      </c>
      <c r="J76" t="s">
        <v>89</v>
      </c>
      <c r="K76" t="s">
        <v>142</v>
      </c>
      <c r="L76" t="s">
        <v>17</v>
      </c>
    </row>
    <row r="77" spans="1:12" hidden="1" x14ac:dyDescent="0.25">
      <c r="A77" t="e">
        <f>VLOOKUP(B77,'PI Commitments'!#REF!,1,FALSE)</f>
        <v>#REF!</v>
      </c>
      <c r="B77">
        <v>151727</v>
      </c>
      <c r="C77" t="s">
        <v>143</v>
      </c>
      <c r="D77" t="s">
        <v>13</v>
      </c>
      <c r="E77" t="s">
        <v>14</v>
      </c>
      <c r="F77">
        <v>1.286</v>
      </c>
      <c r="G77">
        <v>1</v>
      </c>
      <c r="H77">
        <v>7</v>
      </c>
      <c r="I77" s="53">
        <v>43743</v>
      </c>
      <c r="J77" t="s">
        <v>89</v>
      </c>
      <c r="K77" t="s">
        <v>144</v>
      </c>
      <c r="L77" t="s">
        <v>17</v>
      </c>
    </row>
    <row r="78" spans="1:12" hidden="1" x14ac:dyDescent="0.25">
      <c r="A78" t="e">
        <f>VLOOKUP(B78,'PI Commitments'!#REF!,1,FALSE)</f>
        <v>#REF!</v>
      </c>
      <c r="B78">
        <v>161828</v>
      </c>
      <c r="C78" t="s">
        <v>145</v>
      </c>
      <c r="D78" t="s">
        <v>13</v>
      </c>
      <c r="E78" t="s">
        <v>26</v>
      </c>
      <c r="F78">
        <v>1.2</v>
      </c>
      <c r="G78">
        <v>1</v>
      </c>
      <c r="H78">
        <v>5</v>
      </c>
      <c r="I78" s="53">
        <v>43743</v>
      </c>
      <c r="J78" t="s">
        <v>89</v>
      </c>
      <c r="K78" t="s">
        <v>129</v>
      </c>
      <c r="L78" t="s">
        <v>17</v>
      </c>
    </row>
    <row r="79" spans="1:12" hidden="1" x14ac:dyDescent="0.25">
      <c r="A79" t="e">
        <f>VLOOKUP(B79,'PI Commitments'!#REF!,1,FALSE)</f>
        <v>#REF!</v>
      </c>
      <c r="B79">
        <v>163491</v>
      </c>
      <c r="C79" t="s">
        <v>146</v>
      </c>
      <c r="D79" t="s">
        <v>13</v>
      </c>
      <c r="E79" t="s">
        <v>19</v>
      </c>
      <c r="F79">
        <v>1</v>
      </c>
      <c r="G79">
        <v>1</v>
      </c>
      <c r="H79">
        <v>4</v>
      </c>
      <c r="I79" s="53">
        <v>43743</v>
      </c>
      <c r="J79" t="s">
        <v>89</v>
      </c>
      <c r="K79" t="s">
        <v>47</v>
      </c>
      <c r="L79" t="s">
        <v>17</v>
      </c>
    </row>
    <row r="80" spans="1:12" hidden="1" x14ac:dyDescent="0.25">
      <c r="A80" t="e">
        <f>VLOOKUP(B80,'PI Commitments'!#REF!,1,FALSE)</f>
        <v>#REF!</v>
      </c>
      <c r="B80">
        <v>163497</v>
      </c>
      <c r="C80" t="s">
        <v>146</v>
      </c>
      <c r="D80" t="s">
        <v>13</v>
      </c>
      <c r="E80" t="s">
        <v>14</v>
      </c>
      <c r="F80">
        <v>1</v>
      </c>
      <c r="G80">
        <v>1</v>
      </c>
      <c r="H80">
        <v>6</v>
      </c>
      <c r="I80" s="53">
        <v>43743</v>
      </c>
      <c r="J80" t="s">
        <v>86</v>
      </c>
      <c r="K80" t="s">
        <v>36</v>
      </c>
      <c r="L80" t="s">
        <v>17</v>
      </c>
    </row>
    <row r="81" spans="1:12" hidden="1" x14ac:dyDescent="0.25">
      <c r="A81" t="e">
        <f>VLOOKUP(B81,'PI Commitments'!#REF!,1,FALSE)</f>
        <v>#REF!</v>
      </c>
      <c r="B81">
        <v>165192</v>
      </c>
      <c r="C81" t="s">
        <v>147</v>
      </c>
      <c r="D81" t="s">
        <v>13</v>
      </c>
      <c r="E81" t="s">
        <v>14</v>
      </c>
      <c r="F81">
        <v>2</v>
      </c>
      <c r="G81">
        <v>2</v>
      </c>
      <c r="H81">
        <v>3</v>
      </c>
      <c r="I81" s="53">
        <v>43743</v>
      </c>
      <c r="J81" t="s">
        <v>89</v>
      </c>
      <c r="K81" t="s">
        <v>148</v>
      </c>
      <c r="L81" t="s">
        <v>17</v>
      </c>
    </row>
    <row r="82" spans="1:12" hidden="1" x14ac:dyDescent="0.25">
      <c r="A82" t="e">
        <f>VLOOKUP(B82,'PI Commitments'!#REF!,1,FALSE)</f>
        <v>#REF!</v>
      </c>
      <c r="B82">
        <v>165193</v>
      </c>
      <c r="C82" t="s">
        <v>149</v>
      </c>
      <c r="D82" t="s">
        <v>13</v>
      </c>
      <c r="E82" t="s">
        <v>14</v>
      </c>
      <c r="F82">
        <v>2</v>
      </c>
      <c r="G82">
        <v>2</v>
      </c>
      <c r="H82">
        <v>3</v>
      </c>
      <c r="I82" s="53">
        <v>43743</v>
      </c>
      <c r="J82" t="s">
        <v>89</v>
      </c>
      <c r="K82" t="s">
        <v>148</v>
      </c>
      <c r="L82" t="s">
        <v>17</v>
      </c>
    </row>
    <row r="83" spans="1:12" hidden="1" x14ac:dyDescent="0.25">
      <c r="A83" t="e">
        <f>VLOOKUP(B83,'PI Commitments'!#REF!,1,FALSE)</f>
        <v>#REF!</v>
      </c>
      <c r="B83">
        <v>165194</v>
      </c>
      <c r="C83" t="s">
        <v>150</v>
      </c>
      <c r="D83" t="s">
        <v>13</v>
      </c>
      <c r="E83" t="s">
        <v>14</v>
      </c>
      <c r="F83">
        <v>2</v>
      </c>
      <c r="G83">
        <v>2</v>
      </c>
      <c r="H83">
        <v>3</v>
      </c>
      <c r="I83" s="53">
        <v>43743</v>
      </c>
      <c r="J83" t="s">
        <v>89</v>
      </c>
      <c r="K83" t="s">
        <v>148</v>
      </c>
      <c r="L83" t="s">
        <v>17</v>
      </c>
    </row>
    <row r="84" spans="1:12" hidden="1" x14ac:dyDescent="0.25">
      <c r="A84" t="e">
        <f>VLOOKUP(B84,'PI Commitments'!#REF!,1,FALSE)</f>
        <v>#REF!</v>
      </c>
      <c r="B84">
        <v>165934</v>
      </c>
      <c r="C84" t="s">
        <v>151</v>
      </c>
      <c r="D84" t="s">
        <v>13</v>
      </c>
      <c r="E84" t="s">
        <v>58</v>
      </c>
      <c r="F84">
        <v>1.5</v>
      </c>
      <c r="G84">
        <v>2</v>
      </c>
      <c r="H84">
        <v>4</v>
      </c>
      <c r="I84" s="53">
        <v>43743</v>
      </c>
      <c r="J84" t="s">
        <v>89</v>
      </c>
      <c r="K84" t="s">
        <v>152</v>
      </c>
      <c r="L84" t="s">
        <v>17</v>
      </c>
    </row>
    <row r="85" spans="1:12" hidden="1" x14ac:dyDescent="0.25">
      <c r="A85" t="e">
        <f>VLOOKUP(B85,'PI Commitments'!#REF!,1,FALSE)</f>
        <v>#REF!</v>
      </c>
      <c r="B85">
        <v>165191</v>
      </c>
      <c r="C85" t="s">
        <v>153</v>
      </c>
      <c r="D85" t="s">
        <v>13</v>
      </c>
      <c r="E85" t="s">
        <v>14</v>
      </c>
      <c r="F85">
        <v>1.2</v>
      </c>
      <c r="G85">
        <v>2</v>
      </c>
      <c r="H85">
        <v>5</v>
      </c>
      <c r="I85" s="53">
        <v>43743</v>
      </c>
      <c r="J85" t="s">
        <v>89</v>
      </c>
      <c r="K85" t="s">
        <v>148</v>
      </c>
      <c r="L85" t="s">
        <v>17</v>
      </c>
    </row>
    <row r="86" spans="1:12" hidden="1" x14ac:dyDescent="0.25">
      <c r="A86" t="e">
        <f>VLOOKUP(B86,'PI Commitments'!#REF!,1,FALSE)</f>
        <v>#REF!</v>
      </c>
      <c r="B86">
        <v>164302</v>
      </c>
      <c r="C86" t="s">
        <v>154</v>
      </c>
      <c r="D86" t="s">
        <v>13</v>
      </c>
      <c r="E86" t="s">
        <v>14</v>
      </c>
      <c r="F86">
        <v>1</v>
      </c>
      <c r="G86">
        <v>2</v>
      </c>
      <c r="H86">
        <v>5</v>
      </c>
      <c r="I86" s="53">
        <v>43743</v>
      </c>
      <c r="J86" t="s">
        <v>89</v>
      </c>
      <c r="K86" t="s">
        <v>148</v>
      </c>
      <c r="L86" t="s">
        <v>17</v>
      </c>
    </row>
    <row r="87" spans="1:12" hidden="1" x14ac:dyDescent="0.25">
      <c r="A87" t="e">
        <f>VLOOKUP(B87,'PI Commitments'!#REF!,1,FALSE)</f>
        <v>#REF!</v>
      </c>
      <c r="B87">
        <v>165935</v>
      </c>
      <c r="C87" t="s">
        <v>151</v>
      </c>
      <c r="D87" t="s">
        <v>13</v>
      </c>
      <c r="E87" t="s">
        <v>26</v>
      </c>
      <c r="F87">
        <v>0.86</v>
      </c>
      <c r="G87">
        <v>2</v>
      </c>
      <c r="H87">
        <v>7</v>
      </c>
      <c r="I87" s="53">
        <v>43743</v>
      </c>
      <c r="J87" t="s">
        <v>89</v>
      </c>
      <c r="K87" t="s">
        <v>27</v>
      </c>
      <c r="L87" t="s">
        <v>17</v>
      </c>
    </row>
    <row r="88" spans="1:12" hidden="1" x14ac:dyDescent="0.25">
      <c r="A88" t="e">
        <f>VLOOKUP(B88,'PI Commitments'!#REF!,1,FALSE)</f>
        <v>#REF!</v>
      </c>
      <c r="B88">
        <v>162327</v>
      </c>
      <c r="C88" t="s">
        <v>155</v>
      </c>
      <c r="D88" t="s">
        <v>13</v>
      </c>
      <c r="E88" t="s">
        <v>156</v>
      </c>
      <c r="F88">
        <v>1</v>
      </c>
      <c r="G88">
        <v>1</v>
      </c>
      <c r="H88">
        <v>10</v>
      </c>
      <c r="I88" s="53">
        <v>43746</v>
      </c>
      <c r="J88" t="s">
        <v>89</v>
      </c>
      <c r="K88" t="s">
        <v>157</v>
      </c>
      <c r="L88" t="s">
        <v>17</v>
      </c>
    </row>
    <row r="89" spans="1:12" x14ac:dyDescent="0.25">
      <c r="A89" t="e">
        <f>VLOOKUP(B89,'PI Commitments'!#REF!,1,FALSE)</f>
        <v>#REF!</v>
      </c>
      <c r="B89">
        <v>165243</v>
      </c>
      <c r="C89" t="s">
        <v>158</v>
      </c>
      <c r="D89" t="s">
        <v>13</v>
      </c>
      <c r="E89" t="s">
        <v>29</v>
      </c>
      <c r="F89">
        <v>1</v>
      </c>
      <c r="G89">
        <v>1</v>
      </c>
      <c r="H89">
        <v>3</v>
      </c>
      <c r="I89" s="53">
        <v>43746</v>
      </c>
      <c r="J89" t="s">
        <v>89</v>
      </c>
      <c r="K89" t="s">
        <v>159</v>
      </c>
      <c r="L89" t="s">
        <v>31</v>
      </c>
    </row>
    <row r="90" spans="1:12" hidden="1" x14ac:dyDescent="0.25">
      <c r="A90" t="e">
        <f>VLOOKUP(B90,'PI Commitments'!#REF!,1,FALSE)</f>
        <v>#REF!</v>
      </c>
      <c r="B90">
        <v>165245</v>
      </c>
      <c r="C90" t="s">
        <v>160</v>
      </c>
      <c r="D90" t="s">
        <v>13</v>
      </c>
      <c r="E90" t="s">
        <v>29</v>
      </c>
      <c r="F90">
        <v>0.88900000000000001</v>
      </c>
      <c r="G90">
        <v>1</v>
      </c>
      <c r="H90">
        <v>6</v>
      </c>
      <c r="I90" s="53">
        <v>43746</v>
      </c>
      <c r="J90" t="s">
        <v>89</v>
      </c>
      <c r="K90" t="s">
        <v>109</v>
      </c>
      <c r="L90" t="s">
        <v>31</v>
      </c>
    </row>
    <row r="91" spans="1:12" hidden="1" x14ac:dyDescent="0.25">
      <c r="A91" t="e">
        <f>VLOOKUP(B91,'PI Commitments'!#REF!,1,FALSE)</f>
        <v>#REF!</v>
      </c>
      <c r="B91">
        <v>161232</v>
      </c>
      <c r="C91" t="s">
        <v>161</v>
      </c>
      <c r="D91" t="s">
        <v>13</v>
      </c>
      <c r="E91" t="s">
        <v>29</v>
      </c>
      <c r="F91">
        <v>0.75</v>
      </c>
      <c r="G91">
        <v>1</v>
      </c>
      <c r="H91">
        <v>5</v>
      </c>
      <c r="I91" s="53">
        <v>43746</v>
      </c>
      <c r="J91" t="s">
        <v>89</v>
      </c>
      <c r="K91" t="s">
        <v>109</v>
      </c>
      <c r="L91" t="s">
        <v>31</v>
      </c>
    </row>
    <row r="92" spans="1:12" x14ac:dyDescent="0.25">
      <c r="A92" t="e">
        <f>VLOOKUP(B92,'PI Commitments'!#REF!,1,FALSE)</f>
        <v>#REF!</v>
      </c>
      <c r="B92">
        <v>166870</v>
      </c>
      <c r="C92" t="s">
        <v>162</v>
      </c>
      <c r="D92" t="s">
        <v>13</v>
      </c>
      <c r="E92" t="s">
        <v>29</v>
      </c>
      <c r="G92">
        <v>2</v>
      </c>
      <c r="H92">
        <v>3</v>
      </c>
      <c r="I92" s="53">
        <v>43746</v>
      </c>
      <c r="J92" t="s">
        <v>89</v>
      </c>
      <c r="K92" t="s">
        <v>163</v>
      </c>
      <c r="L92" t="s">
        <v>31</v>
      </c>
    </row>
    <row r="93" spans="1:12" hidden="1" x14ac:dyDescent="0.25">
      <c r="A93" t="e">
        <f>VLOOKUP(B93,'PI Commitments'!#REF!,1,FALSE)</f>
        <v>#REF!</v>
      </c>
      <c r="B93">
        <v>144514</v>
      </c>
      <c r="C93" t="s">
        <v>164</v>
      </c>
      <c r="D93" t="s">
        <v>13</v>
      </c>
      <c r="E93" t="s">
        <v>165</v>
      </c>
      <c r="F93">
        <v>1</v>
      </c>
      <c r="G93">
        <v>2</v>
      </c>
      <c r="H93">
        <v>2</v>
      </c>
      <c r="I93" s="53">
        <v>43746</v>
      </c>
      <c r="J93" t="s">
        <v>86</v>
      </c>
      <c r="K93" t="s">
        <v>16</v>
      </c>
      <c r="L93" t="s">
        <v>31</v>
      </c>
    </row>
    <row r="94" spans="1:12" hidden="1" x14ac:dyDescent="0.25">
      <c r="A94" t="e">
        <f>VLOOKUP(B94,'PI Commitments'!#REF!,1,FALSE)</f>
        <v>#REF!</v>
      </c>
      <c r="B94">
        <v>150749</v>
      </c>
      <c r="C94" t="s">
        <v>166</v>
      </c>
      <c r="D94" t="s">
        <v>13</v>
      </c>
      <c r="E94" t="s">
        <v>26</v>
      </c>
      <c r="F94">
        <v>1</v>
      </c>
      <c r="G94">
        <v>2</v>
      </c>
      <c r="H94">
        <v>3</v>
      </c>
      <c r="I94" s="53">
        <v>43746</v>
      </c>
      <c r="J94" t="s">
        <v>89</v>
      </c>
      <c r="K94" t="s">
        <v>133</v>
      </c>
      <c r="L94" t="s">
        <v>17</v>
      </c>
    </row>
    <row r="95" spans="1:12" hidden="1" x14ac:dyDescent="0.25">
      <c r="A95" t="e">
        <f>VLOOKUP(B95,'PI Commitments'!#REF!,1,FALSE)</f>
        <v>#REF!</v>
      </c>
      <c r="B95">
        <v>120687</v>
      </c>
      <c r="C95" t="s">
        <v>167</v>
      </c>
      <c r="D95" t="s">
        <v>13</v>
      </c>
      <c r="E95" t="s">
        <v>29</v>
      </c>
      <c r="F95">
        <v>3</v>
      </c>
      <c r="G95">
        <v>3</v>
      </c>
      <c r="H95">
        <v>1</v>
      </c>
      <c r="I95" s="53">
        <v>43746</v>
      </c>
      <c r="J95" t="s">
        <v>89</v>
      </c>
      <c r="K95" t="s">
        <v>163</v>
      </c>
      <c r="L95" t="s">
        <v>31</v>
      </c>
    </row>
    <row r="96" spans="1:12" hidden="1" x14ac:dyDescent="0.25">
      <c r="A96" t="e">
        <f>VLOOKUP(B96,'PI Commitments'!#REF!,1,FALSE)</f>
        <v>#REF!</v>
      </c>
      <c r="B96">
        <v>161707</v>
      </c>
      <c r="C96" t="s">
        <v>168</v>
      </c>
      <c r="D96" t="s">
        <v>13</v>
      </c>
      <c r="E96" t="s">
        <v>29</v>
      </c>
      <c r="F96">
        <v>3</v>
      </c>
      <c r="G96">
        <v>3</v>
      </c>
      <c r="H96">
        <v>1</v>
      </c>
      <c r="I96" s="53">
        <v>43746</v>
      </c>
      <c r="J96" t="s">
        <v>89</v>
      </c>
      <c r="K96" t="s">
        <v>163</v>
      </c>
      <c r="L96" t="s">
        <v>31</v>
      </c>
    </row>
  </sheetData>
  <autoFilter ref="A1:L96" xr:uid="{1E19057B-C0A4-4B25-A194-E12EDBCFE85E}">
    <filterColumn colId="0">
      <filters>
        <filter val="#N/A"/>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1CF6-CC2F-4C2E-BA06-F9C530D0BFFB}">
  <dimension ref="A1:AD60"/>
  <sheetViews>
    <sheetView workbookViewId="0">
      <selection activeCell="E26" sqref="E26"/>
    </sheetView>
  </sheetViews>
  <sheetFormatPr defaultRowHeight="15" x14ac:dyDescent="0.25"/>
  <cols>
    <col min="2" max="2" width="16" customWidth="1"/>
    <col min="5" max="5" width="10.28515625" customWidth="1"/>
    <col min="6" max="6" width="2.7109375" customWidth="1"/>
    <col min="7" max="7" width="13.5703125" bestFit="1" customWidth="1"/>
    <col min="8" max="8" width="13.5703125" customWidth="1"/>
    <col min="9" max="9" width="18.5703125" customWidth="1"/>
    <col min="10" max="10" width="7.42578125" bestFit="1" customWidth="1"/>
    <col min="11" max="11" width="12.5703125" customWidth="1"/>
    <col min="12" max="12" width="11.42578125" customWidth="1"/>
    <col min="13" max="13" width="2.7109375" customWidth="1"/>
    <col min="14" max="14" width="7.7109375" bestFit="1" customWidth="1"/>
    <col min="15" max="21" width="8.7109375" customWidth="1"/>
    <col min="22" max="22" width="2.7109375" customWidth="1"/>
    <col min="23" max="23" width="8" customWidth="1"/>
    <col min="24" max="30" width="8.7109375" customWidth="1"/>
  </cols>
  <sheetData>
    <row r="1" spans="1:30" ht="45" x14ac:dyDescent="0.25">
      <c r="B1" s="113" t="s">
        <v>169</v>
      </c>
      <c r="C1" s="113" t="s">
        <v>170</v>
      </c>
      <c r="D1" s="114" t="s">
        <v>171</v>
      </c>
      <c r="E1" s="114" t="s">
        <v>172</v>
      </c>
      <c r="F1" s="115"/>
      <c r="G1" s="116" t="s">
        <v>173</v>
      </c>
      <c r="H1" s="116" t="s">
        <v>174</v>
      </c>
      <c r="I1" s="116" t="s">
        <v>175</v>
      </c>
      <c r="J1" s="116" t="s">
        <v>176</v>
      </c>
      <c r="K1" s="117" t="s">
        <v>171</v>
      </c>
      <c r="L1" s="117" t="s">
        <v>172</v>
      </c>
      <c r="M1" s="115"/>
      <c r="N1" s="118" t="s">
        <v>177</v>
      </c>
      <c r="O1" s="119"/>
      <c r="P1" s="119"/>
      <c r="Q1" s="119"/>
      <c r="R1" s="119"/>
      <c r="S1" s="119"/>
      <c r="T1" s="119"/>
      <c r="U1" s="119"/>
      <c r="V1" s="115"/>
    </row>
    <row r="2" spans="1:30" ht="24" customHeight="1" x14ac:dyDescent="0.25">
      <c r="A2" s="462" t="s">
        <v>178</v>
      </c>
      <c r="B2" s="120">
        <v>5</v>
      </c>
      <c r="C2" s="120">
        <v>96</v>
      </c>
      <c r="D2" s="121">
        <v>44643</v>
      </c>
      <c r="E2" s="121">
        <v>44656</v>
      </c>
      <c r="F2" s="115"/>
      <c r="G2" s="454" t="s">
        <v>179</v>
      </c>
      <c r="H2" s="138" t="s">
        <v>180</v>
      </c>
      <c r="I2" s="122" t="s">
        <v>181</v>
      </c>
      <c r="J2" s="122" t="s">
        <v>182</v>
      </c>
      <c r="K2" s="316">
        <f>K5-47</f>
        <v>44620</v>
      </c>
      <c r="L2" s="316">
        <f>K5-22</f>
        <v>44645</v>
      </c>
      <c r="M2" s="115"/>
      <c r="O2" s="123" t="s">
        <v>183</v>
      </c>
      <c r="P2" s="123" t="s">
        <v>184</v>
      </c>
      <c r="Q2" s="123" t="s">
        <v>185</v>
      </c>
      <c r="R2" s="123" t="s">
        <v>186</v>
      </c>
      <c r="S2" s="123" t="s">
        <v>185</v>
      </c>
      <c r="T2" s="123" t="s">
        <v>187</v>
      </c>
      <c r="U2" s="123" t="s">
        <v>183</v>
      </c>
      <c r="V2" s="115"/>
      <c r="X2" s="123" t="s">
        <v>183</v>
      </c>
      <c r="Y2" s="123" t="s">
        <v>184</v>
      </c>
      <c r="Z2" s="123" t="s">
        <v>185</v>
      </c>
      <c r="AA2" s="123" t="s">
        <v>186</v>
      </c>
      <c r="AB2" s="123" t="s">
        <v>185</v>
      </c>
      <c r="AC2" s="123" t="s">
        <v>187</v>
      </c>
      <c r="AD2" s="123" t="s">
        <v>183</v>
      </c>
    </row>
    <row r="3" spans="1:30" ht="15.75" customHeight="1" thickBot="1" x14ac:dyDescent="0.3">
      <c r="A3" s="463"/>
      <c r="B3" s="124">
        <v>6</v>
      </c>
      <c r="C3" s="124">
        <f>C2+1</f>
        <v>97</v>
      </c>
      <c r="D3" s="125">
        <v>44657</v>
      </c>
      <c r="E3" s="125">
        <v>44670</v>
      </c>
      <c r="F3" s="115"/>
      <c r="G3" s="464"/>
      <c r="H3" s="57" t="s">
        <v>188</v>
      </c>
      <c r="I3" s="122" t="s">
        <v>189</v>
      </c>
      <c r="J3" s="122" t="s">
        <v>190</v>
      </c>
      <c r="K3" s="316">
        <f>K5-19</f>
        <v>44648</v>
      </c>
      <c r="L3" s="316">
        <f>K5-15</f>
        <v>44652</v>
      </c>
      <c r="M3" s="115"/>
      <c r="N3" s="444" t="s">
        <v>222</v>
      </c>
      <c r="O3" s="126"/>
      <c r="P3" s="119"/>
      <c r="Q3" s="119"/>
      <c r="R3" s="119"/>
      <c r="S3" s="119"/>
      <c r="T3" s="317">
        <v>1</v>
      </c>
      <c r="U3" s="317">
        <v>2</v>
      </c>
      <c r="V3" s="115"/>
      <c r="W3" s="444" t="s">
        <v>251</v>
      </c>
      <c r="X3" s="127">
        <v>1</v>
      </c>
      <c r="Y3" s="127">
        <v>2</v>
      </c>
      <c r="Z3" s="127">
        <v>3</v>
      </c>
      <c r="AA3" s="321">
        <v>4</v>
      </c>
      <c r="AB3" s="321">
        <v>5</v>
      </c>
      <c r="AC3" s="321">
        <v>6</v>
      </c>
      <c r="AD3" s="321">
        <v>7</v>
      </c>
    </row>
    <row r="4" spans="1:30" ht="15" customHeight="1" x14ac:dyDescent="0.25">
      <c r="A4" s="466" t="s">
        <v>191</v>
      </c>
      <c r="B4" s="128">
        <v>1</v>
      </c>
      <c r="C4" s="128">
        <f t="shared" ref="C4:C11" si="0">C3+1</f>
        <v>98</v>
      </c>
      <c r="D4" s="129">
        <f t="shared" ref="D4:E11" si="1">D3+14</f>
        <v>44671</v>
      </c>
      <c r="E4" s="130">
        <f t="shared" si="1"/>
        <v>44684</v>
      </c>
      <c r="F4" s="115"/>
      <c r="G4" s="464"/>
      <c r="H4" s="57" t="s">
        <v>192</v>
      </c>
      <c r="I4" s="122" t="s">
        <v>193</v>
      </c>
      <c r="J4" s="122" t="s">
        <v>194</v>
      </c>
      <c r="K4" s="316">
        <f>K5-12</f>
        <v>44655</v>
      </c>
      <c r="L4" s="316">
        <f>K5-4</f>
        <v>44663</v>
      </c>
      <c r="M4" s="115"/>
      <c r="N4" s="444"/>
      <c r="O4" s="131"/>
      <c r="P4" s="119"/>
      <c r="Q4" s="119"/>
      <c r="R4" s="119"/>
      <c r="S4" s="119"/>
      <c r="T4" s="318" t="s">
        <v>669</v>
      </c>
      <c r="U4" s="318" t="s">
        <v>669</v>
      </c>
      <c r="V4" s="115"/>
      <c r="W4" s="444"/>
      <c r="X4" s="319" t="s">
        <v>671</v>
      </c>
      <c r="Y4" s="319" t="s">
        <v>253</v>
      </c>
      <c r="Z4" s="319" t="s">
        <v>253</v>
      </c>
      <c r="AA4" s="322" t="s">
        <v>253</v>
      </c>
      <c r="AB4" s="322" t="s">
        <v>253</v>
      </c>
      <c r="AC4" s="322" t="s">
        <v>253</v>
      </c>
      <c r="AD4" s="322" t="s">
        <v>253</v>
      </c>
    </row>
    <row r="5" spans="1:30" x14ac:dyDescent="0.25">
      <c r="A5" s="467"/>
      <c r="B5" s="132">
        <v>2</v>
      </c>
      <c r="C5" s="320">
        <f t="shared" si="0"/>
        <v>99</v>
      </c>
      <c r="D5" s="133">
        <f t="shared" si="1"/>
        <v>44685</v>
      </c>
      <c r="E5" s="134">
        <f t="shared" si="1"/>
        <v>44698</v>
      </c>
      <c r="F5" s="115"/>
      <c r="G5" s="465"/>
      <c r="H5" s="57" t="s">
        <v>195</v>
      </c>
      <c r="I5" s="122" t="s">
        <v>196</v>
      </c>
      <c r="J5" s="122" t="s">
        <v>197</v>
      </c>
      <c r="K5" s="457">
        <v>44667</v>
      </c>
      <c r="L5" s="457"/>
      <c r="M5" s="115"/>
      <c r="N5" s="444"/>
      <c r="O5" s="317">
        <v>3</v>
      </c>
      <c r="P5" s="317">
        <v>4</v>
      </c>
      <c r="Q5" s="317">
        <v>5</v>
      </c>
      <c r="R5" s="317">
        <v>6</v>
      </c>
      <c r="S5" s="317">
        <v>7</v>
      </c>
      <c r="T5" s="317">
        <v>8</v>
      </c>
      <c r="U5" s="317">
        <v>9</v>
      </c>
      <c r="V5" s="115"/>
      <c r="W5" s="444"/>
      <c r="X5" s="321">
        <v>8</v>
      </c>
      <c r="Y5" s="321">
        <v>9</v>
      </c>
      <c r="Z5" s="321">
        <v>10</v>
      </c>
      <c r="AA5" s="321">
        <v>11</v>
      </c>
      <c r="AB5" s="321">
        <v>12</v>
      </c>
      <c r="AC5" s="321">
        <v>13</v>
      </c>
      <c r="AD5" s="321">
        <v>14</v>
      </c>
    </row>
    <row r="6" spans="1:30" ht="17.25" customHeight="1" x14ac:dyDescent="0.25">
      <c r="A6" s="467"/>
      <c r="B6" s="135">
        <v>3</v>
      </c>
      <c r="C6" s="323">
        <f t="shared" si="0"/>
        <v>100</v>
      </c>
      <c r="D6" s="136">
        <f t="shared" si="1"/>
        <v>44699</v>
      </c>
      <c r="E6" s="137">
        <f t="shared" si="1"/>
        <v>44712</v>
      </c>
      <c r="F6" s="115"/>
      <c r="G6" s="454" t="s">
        <v>198</v>
      </c>
      <c r="H6" s="138" t="s">
        <v>199</v>
      </c>
      <c r="I6" s="122" t="s">
        <v>181</v>
      </c>
      <c r="J6" s="122" t="s">
        <v>200</v>
      </c>
      <c r="K6" s="316">
        <f>K9-47</f>
        <v>44648</v>
      </c>
      <c r="L6" s="316">
        <f>K9-22</f>
        <v>44673</v>
      </c>
      <c r="M6" s="115"/>
      <c r="N6" s="444"/>
      <c r="O6" s="318" t="s">
        <v>669</v>
      </c>
      <c r="P6" s="318" t="s">
        <v>670</v>
      </c>
      <c r="Q6" s="318" t="s">
        <v>670</v>
      </c>
      <c r="R6" s="318" t="s">
        <v>670</v>
      </c>
      <c r="S6" s="318" t="s">
        <v>670</v>
      </c>
      <c r="T6" s="318" t="s">
        <v>670</v>
      </c>
      <c r="U6" s="318" t="s">
        <v>670</v>
      </c>
      <c r="V6" s="115"/>
      <c r="W6" s="444"/>
      <c r="X6" s="322" t="s">
        <v>253</v>
      </c>
      <c r="Y6" s="322" t="s">
        <v>253</v>
      </c>
      <c r="Z6" s="322" t="s">
        <v>253</v>
      </c>
      <c r="AA6" s="322" t="s">
        <v>256</v>
      </c>
      <c r="AB6" s="322" t="s">
        <v>256</v>
      </c>
      <c r="AC6" s="322" t="s">
        <v>256</v>
      </c>
      <c r="AD6" s="322" t="s">
        <v>256</v>
      </c>
    </row>
    <row r="7" spans="1:30" x14ac:dyDescent="0.25">
      <c r="A7" s="467"/>
      <c r="B7" s="139">
        <v>4</v>
      </c>
      <c r="C7" s="139">
        <f t="shared" si="0"/>
        <v>101</v>
      </c>
      <c r="D7" s="140">
        <f t="shared" si="1"/>
        <v>44713</v>
      </c>
      <c r="E7" s="141">
        <f t="shared" si="1"/>
        <v>44726</v>
      </c>
      <c r="F7" s="115"/>
      <c r="G7" s="455"/>
      <c r="H7" s="57" t="s">
        <v>195</v>
      </c>
      <c r="I7" s="122" t="s">
        <v>189</v>
      </c>
      <c r="J7" s="122" t="s">
        <v>202</v>
      </c>
      <c r="K7" s="316">
        <f>K9-19</f>
        <v>44676</v>
      </c>
      <c r="L7" s="316">
        <f>K9-15</f>
        <v>44680</v>
      </c>
      <c r="M7" s="115"/>
      <c r="N7" s="444"/>
      <c r="O7" s="317">
        <v>10</v>
      </c>
      <c r="P7" s="317">
        <v>11</v>
      </c>
      <c r="Q7" s="317">
        <v>12</v>
      </c>
      <c r="R7" s="317">
        <v>13</v>
      </c>
      <c r="S7" s="317">
        <v>14</v>
      </c>
      <c r="T7" s="317">
        <v>15</v>
      </c>
      <c r="U7" s="317">
        <v>16</v>
      </c>
      <c r="V7" s="115"/>
      <c r="W7" s="444"/>
      <c r="X7" s="321">
        <v>15</v>
      </c>
      <c r="Y7" s="321">
        <v>16</v>
      </c>
      <c r="Z7" s="321">
        <v>17</v>
      </c>
      <c r="AA7" s="324">
        <v>18</v>
      </c>
      <c r="AB7" s="324">
        <v>19</v>
      </c>
      <c r="AC7" s="324">
        <v>20</v>
      </c>
      <c r="AD7" s="324">
        <v>21</v>
      </c>
    </row>
    <row r="8" spans="1:30" x14ac:dyDescent="0.25">
      <c r="A8" s="467"/>
      <c r="B8" s="142">
        <v>5</v>
      </c>
      <c r="C8" s="142">
        <f t="shared" si="0"/>
        <v>102</v>
      </c>
      <c r="D8" s="143">
        <f t="shared" si="1"/>
        <v>44727</v>
      </c>
      <c r="E8" s="144">
        <f t="shared" si="1"/>
        <v>44740</v>
      </c>
      <c r="F8" s="115"/>
      <c r="G8" s="455"/>
      <c r="H8" s="57" t="s">
        <v>201</v>
      </c>
      <c r="I8" s="122" t="s">
        <v>193</v>
      </c>
      <c r="J8" s="122" t="s">
        <v>204</v>
      </c>
      <c r="K8" s="316">
        <f>K9-12</f>
        <v>44683</v>
      </c>
      <c r="L8" s="316">
        <f>K9-4</f>
        <v>44691</v>
      </c>
      <c r="M8" s="115"/>
      <c r="N8" s="444"/>
      <c r="O8" s="318" t="s">
        <v>670</v>
      </c>
      <c r="P8" s="318" t="s">
        <v>670</v>
      </c>
      <c r="Q8" s="318" t="s">
        <v>670</v>
      </c>
      <c r="R8" s="318" t="s">
        <v>235</v>
      </c>
      <c r="S8" s="318" t="s">
        <v>235</v>
      </c>
      <c r="T8" s="318" t="s">
        <v>235</v>
      </c>
      <c r="U8" s="318" t="s">
        <v>235</v>
      </c>
      <c r="V8" s="115"/>
      <c r="W8" s="444"/>
      <c r="X8" s="322" t="s">
        <v>209</v>
      </c>
      <c r="Y8" s="322" t="s">
        <v>209</v>
      </c>
      <c r="Z8" s="322" t="s">
        <v>209</v>
      </c>
      <c r="AA8" s="325" t="s">
        <v>209</v>
      </c>
      <c r="AB8" s="325" t="s">
        <v>209</v>
      </c>
      <c r="AC8" s="325" t="s">
        <v>209</v>
      </c>
      <c r="AD8" s="325" t="s">
        <v>209</v>
      </c>
    </row>
    <row r="9" spans="1:30" ht="15.75" customHeight="1" x14ac:dyDescent="0.25">
      <c r="A9" s="467"/>
      <c r="B9" s="145">
        <v>6</v>
      </c>
      <c r="C9" s="145">
        <f t="shared" si="0"/>
        <v>103</v>
      </c>
      <c r="D9" s="146">
        <f t="shared" si="1"/>
        <v>44741</v>
      </c>
      <c r="E9" s="147">
        <f t="shared" si="1"/>
        <v>44754</v>
      </c>
      <c r="F9" s="115"/>
      <c r="G9" s="456"/>
      <c r="H9" s="57" t="s">
        <v>205</v>
      </c>
      <c r="I9" s="122" t="s">
        <v>196</v>
      </c>
      <c r="J9" s="122" t="s">
        <v>206</v>
      </c>
      <c r="K9" s="457">
        <v>44695</v>
      </c>
      <c r="L9" s="457"/>
      <c r="M9" s="115"/>
      <c r="N9" s="444"/>
      <c r="O9" s="317">
        <v>17</v>
      </c>
      <c r="P9" s="317">
        <v>18</v>
      </c>
      <c r="Q9" s="317">
        <v>19</v>
      </c>
      <c r="R9" s="127">
        <v>20</v>
      </c>
      <c r="S9" s="127">
        <v>21</v>
      </c>
      <c r="T9" s="127">
        <v>22</v>
      </c>
      <c r="U9" s="127">
        <v>23</v>
      </c>
      <c r="V9" s="115"/>
      <c r="W9" s="444"/>
      <c r="X9" s="324">
        <v>22</v>
      </c>
      <c r="Y9" s="324">
        <v>23</v>
      </c>
      <c r="Z9" s="324">
        <v>24</v>
      </c>
      <c r="AA9" s="324">
        <v>25</v>
      </c>
      <c r="AB9" s="324">
        <v>26</v>
      </c>
      <c r="AC9" s="324">
        <v>27</v>
      </c>
      <c r="AD9" s="324">
        <v>28</v>
      </c>
    </row>
    <row r="10" spans="1:30" x14ac:dyDescent="0.25">
      <c r="A10" s="468" t="s">
        <v>207</v>
      </c>
      <c r="B10" s="148">
        <v>1</v>
      </c>
      <c r="C10" s="148">
        <f t="shared" si="0"/>
        <v>104</v>
      </c>
      <c r="D10" s="149">
        <f t="shared" si="1"/>
        <v>44755</v>
      </c>
      <c r="E10" s="149">
        <f t="shared" si="1"/>
        <v>44768</v>
      </c>
      <c r="F10" s="115"/>
      <c r="G10" s="454" t="s">
        <v>208</v>
      </c>
      <c r="H10" s="138" t="s">
        <v>662</v>
      </c>
      <c r="I10" s="122" t="s">
        <v>181</v>
      </c>
      <c r="J10" s="122" t="s">
        <v>209</v>
      </c>
      <c r="K10" s="316">
        <f>K13-47</f>
        <v>44683</v>
      </c>
      <c r="L10" s="316">
        <f>K13-22</f>
        <v>44708</v>
      </c>
      <c r="M10" s="115"/>
      <c r="N10" s="444"/>
      <c r="O10" s="318" t="s">
        <v>200</v>
      </c>
      <c r="P10" s="318" t="s">
        <v>200</v>
      </c>
      <c r="Q10" s="318" t="s">
        <v>200</v>
      </c>
      <c r="R10" s="319" t="s">
        <v>200</v>
      </c>
      <c r="S10" s="319" t="s">
        <v>200</v>
      </c>
      <c r="T10" s="319" t="s">
        <v>242</v>
      </c>
      <c r="U10" s="319" t="s">
        <v>242</v>
      </c>
      <c r="V10" s="115"/>
      <c r="W10" s="444"/>
      <c r="X10" s="325" t="s">
        <v>209</v>
      </c>
      <c r="Y10" s="325" t="s">
        <v>209</v>
      </c>
      <c r="Z10" s="325" t="s">
        <v>209</v>
      </c>
      <c r="AA10" s="325" t="s">
        <v>209</v>
      </c>
      <c r="AB10" s="325" t="s">
        <v>209</v>
      </c>
      <c r="AC10" s="325" t="s">
        <v>672</v>
      </c>
      <c r="AD10" s="325" t="s">
        <v>672</v>
      </c>
    </row>
    <row r="11" spans="1:30" x14ac:dyDescent="0.25">
      <c r="A11" s="468"/>
      <c r="B11" s="150">
        <v>2</v>
      </c>
      <c r="C11" s="150">
        <f t="shared" si="0"/>
        <v>105</v>
      </c>
      <c r="D11" s="151">
        <f t="shared" si="1"/>
        <v>44769</v>
      </c>
      <c r="E11" s="151">
        <f t="shared" si="1"/>
        <v>44782</v>
      </c>
      <c r="F11" s="115"/>
      <c r="G11" s="455"/>
      <c r="H11" s="57" t="s">
        <v>205</v>
      </c>
      <c r="I11" s="122" t="s">
        <v>189</v>
      </c>
      <c r="J11" s="122" t="s">
        <v>210</v>
      </c>
      <c r="K11" s="316">
        <f>K13-19</f>
        <v>44711</v>
      </c>
      <c r="L11" s="316">
        <f>K13-15</f>
        <v>44715</v>
      </c>
      <c r="M11" s="115"/>
      <c r="N11" s="444"/>
      <c r="O11" s="127">
        <v>24</v>
      </c>
      <c r="P11" s="127">
        <v>25</v>
      </c>
      <c r="Q11" s="127">
        <v>26</v>
      </c>
      <c r="R11" s="127">
        <v>27</v>
      </c>
      <c r="S11" s="127">
        <v>28</v>
      </c>
      <c r="T11" s="127">
        <v>29</v>
      </c>
      <c r="U11" s="127">
        <v>30</v>
      </c>
      <c r="V11" s="115"/>
      <c r="W11" s="444"/>
      <c r="X11" s="324">
        <v>29</v>
      </c>
      <c r="Y11" s="324">
        <v>30</v>
      </c>
      <c r="Z11" s="324">
        <v>31</v>
      </c>
    </row>
    <row r="12" spans="1:30" x14ac:dyDescent="0.25">
      <c r="F12" s="115"/>
      <c r="G12" s="455"/>
      <c r="H12" s="57" t="s">
        <v>663</v>
      </c>
      <c r="I12" s="122" t="s">
        <v>193</v>
      </c>
      <c r="J12" s="122" t="s">
        <v>211</v>
      </c>
      <c r="K12" s="316">
        <f>K13-12</f>
        <v>44718</v>
      </c>
      <c r="L12" s="316">
        <f>K13-4</f>
        <v>44726</v>
      </c>
      <c r="M12" s="115"/>
      <c r="N12" s="444"/>
      <c r="O12" s="319" t="s">
        <v>242</v>
      </c>
      <c r="P12" s="319" t="s">
        <v>202</v>
      </c>
      <c r="Q12" s="319" t="s">
        <v>202</v>
      </c>
      <c r="R12" s="319" t="s">
        <v>202</v>
      </c>
      <c r="S12" s="319" t="s">
        <v>202</v>
      </c>
      <c r="T12" s="319" t="s">
        <v>671</v>
      </c>
      <c r="U12" s="319" t="s">
        <v>671</v>
      </c>
      <c r="V12" s="115"/>
      <c r="W12" s="444"/>
      <c r="X12" s="325" t="s">
        <v>672</v>
      </c>
      <c r="Y12" s="325" t="s">
        <v>673</v>
      </c>
      <c r="Z12" s="325" t="s">
        <v>673</v>
      </c>
    </row>
    <row r="13" spans="1:30" x14ac:dyDescent="0.25">
      <c r="F13" s="115"/>
      <c r="G13" s="456"/>
      <c r="H13" s="57" t="s">
        <v>213</v>
      </c>
      <c r="I13" s="122" t="s">
        <v>196</v>
      </c>
      <c r="J13" s="122" t="s">
        <v>214</v>
      </c>
      <c r="K13" s="457">
        <v>44730</v>
      </c>
      <c r="L13" s="457"/>
      <c r="M13" s="115"/>
      <c r="V13" s="115"/>
    </row>
    <row r="14" spans="1:30" x14ac:dyDescent="0.25">
      <c r="F14" s="115"/>
      <c r="G14" s="454" t="s">
        <v>215</v>
      </c>
      <c r="H14" s="138" t="s">
        <v>180</v>
      </c>
      <c r="I14" s="122" t="s">
        <v>181</v>
      </c>
      <c r="J14" s="122" t="s">
        <v>216</v>
      </c>
      <c r="K14" s="316">
        <f>K17-47</f>
        <v>44711</v>
      </c>
      <c r="L14" s="316">
        <f>K17-22</f>
        <v>44736</v>
      </c>
      <c r="M14" s="115"/>
      <c r="V14" s="115"/>
    </row>
    <row r="15" spans="1:30" x14ac:dyDescent="0.25">
      <c r="F15" s="115"/>
      <c r="G15" s="455"/>
      <c r="H15" s="57" t="s">
        <v>188</v>
      </c>
      <c r="I15" s="122" t="s">
        <v>189</v>
      </c>
      <c r="J15" s="122" t="s">
        <v>217</v>
      </c>
      <c r="K15" s="316">
        <f>K17-19</f>
        <v>44739</v>
      </c>
      <c r="L15" s="316">
        <f>K17-15</f>
        <v>44743</v>
      </c>
      <c r="M15" s="115"/>
      <c r="O15" s="119"/>
      <c r="P15" s="119"/>
      <c r="Q15" s="119"/>
      <c r="R15" s="119"/>
      <c r="S15" s="119"/>
      <c r="T15" s="119"/>
      <c r="U15" s="119"/>
      <c r="V15" s="115"/>
      <c r="X15" s="119"/>
      <c r="Y15" s="119"/>
      <c r="Z15" s="119"/>
      <c r="AA15" s="119"/>
      <c r="AB15" s="119"/>
      <c r="AC15" s="119"/>
      <c r="AD15" s="119"/>
    </row>
    <row r="16" spans="1:30" x14ac:dyDescent="0.25">
      <c r="F16" s="115"/>
      <c r="G16" s="455"/>
      <c r="H16" s="57" t="s">
        <v>192</v>
      </c>
      <c r="I16" s="122" t="s">
        <v>193</v>
      </c>
      <c r="J16" s="122" t="s">
        <v>218</v>
      </c>
      <c r="K16" s="316">
        <f>K17-12</f>
        <v>44746</v>
      </c>
      <c r="L16" s="316">
        <f>K17-4</f>
        <v>44754</v>
      </c>
      <c r="M16" s="115"/>
      <c r="O16" s="123" t="s">
        <v>183</v>
      </c>
      <c r="P16" s="123" t="s">
        <v>184</v>
      </c>
      <c r="Q16" s="123" t="s">
        <v>185</v>
      </c>
      <c r="R16" s="123" t="s">
        <v>186</v>
      </c>
      <c r="S16" s="123" t="s">
        <v>185</v>
      </c>
      <c r="T16" s="123" t="s">
        <v>187</v>
      </c>
      <c r="U16" s="123" t="s">
        <v>183</v>
      </c>
      <c r="V16" s="115"/>
      <c r="X16" s="123" t="s">
        <v>183</v>
      </c>
      <c r="Y16" s="123" t="s">
        <v>184</v>
      </c>
      <c r="Z16" s="123" t="s">
        <v>185</v>
      </c>
      <c r="AA16" s="123" t="s">
        <v>186</v>
      </c>
      <c r="AB16" s="123" t="s">
        <v>185</v>
      </c>
      <c r="AC16" s="123" t="s">
        <v>187</v>
      </c>
      <c r="AD16" s="123" t="s">
        <v>183</v>
      </c>
    </row>
    <row r="17" spans="1:30" ht="15.75" customHeight="1" x14ac:dyDescent="0.25">
      <c r="D17" t="s">
        <v>219</v>
      </c>
      <c r="E17" t="s">
        <v>220</v>
      </c>
      <c r="F17" s="115"/>
      <c r="G17" s="456"/>
      <c r="H17" s="57" t="s">
        <v>195</v>
      </c>
      <c r="I17" s="122" t="s">
        <v>196</v>
      </c>
      <c r="J17" s="122" t="s">
        <v>221</v>
      </c>
      <c r="K17" s="457">
        <v>44758</v>
      </c>
      <c r="L17" s="457"/>
      <c r="M17" s="115"/>
      <c r="N17" s="444" t="s">
        <v>659</v>
      </c>
      <c r="O17" s="126"/>
      <c r="P17" s="119"/>
      <c r="Q17" s="119"/>
      <c r="R17" s="155">
        <v>1</v>
      </c>
      <c r="S17" s="155">
        <v>2</v>
      </c>
      <c r="T17" s="155">
        <v>3</v>
      </c>
      <c r="U17" s="155">
        <v>4</v>
      </c>
      <c r="V17" s="115"/>
      <c r="W17" s="444" t="s">
        <v>660</v>
      </c>
      <c r="X17" s="126"/>
      <c r="Y17" s="119"/>
      <c r="Z17" s="119"/>
      <c r="AA17" s="119"/>
      <c r="AB17" s="119"/>
      <c r="AC17" s="156">
        <v>1</v>
      </c>
      <c r="AD17" s="156">
        <v>2</v>
      </c>
    </row>
    <row r="18" spans="1:30" ht="30" customHeight="1" x14ac:dyDescent="0.25">
      <c r="A18" s="153"/>
      <c r="B18" s="4"/>
      <c r="D18">
        <v>74</v>
      </c>
      <c r="F18" s="115"/>
      <c r="G18" s="454" t="s">
        <v>223</v>
      </c>
      <c r="H18" s="138" t="s">
        <v>199</v>
      </c>
      <c r="I18" s="122" t="s">
        <v>181</v>
      </c>
      <c r="J18" s="122" t="s">
        <v>224</v>
      </c>
      <c r="K18" s="316">
        <f>K21-47</f>
        <v>44746</v>
      </c>
      <c r="L18" s="316">
        <f>K21-22</f>
        <v>44771</v>
      </c>
      <c r="M18" s="115"/>
      <c r="N18" s="444"/>
      <c r="O18" s="131"/>
      <c r="P18" s="119"/>
      <c r="Q18" s="119"/>
      <c r="R18" s="157" t="s">
        <v>673</v>
      </c>
      <c r="S18" s="157" t="s">
        <v>673</v>
      </c>
      <c r="T18" s="157" t="s">
        <v>674</v>
      </c>
      <c r="U18" s="157" t="s">
        <v>674</v>
      </c>
      <c r="V18" s="115"/>
      <c r="W18" s="444"/>
      <c r="X18" s="131"/>
      <c r="Y18" s="119"/>
      <c r="Z18" s="119"/>
      <c r="AA18" s="119"/>
      <c r="AB18" s="119"/>
      <c r="AC18" s="158" t="s">
        <v>680</v>
      </c>
      <c r="AD18" s="158" t="s">
        <v>680</v>
      </c>
    </row>
    <row r="19" spans="1:30" x14ac:dyDescent="0.25">
      <c r="B19" s="4"/>
      <c r="F19" s="115"/>
      <c r="G19" s="455"/>
      <c r="H19" s="57" t="s">
        <v>201</v>
      </c>
      <c r="I19" s="122" t="s">
        <v>189</v>
      </c>
      <c r="J19" s="122" t="s">
        <v>225</v>
      </c>
      <c r="K19" s="316">
        <f>K21-19</f>
        <v>44774</v>
      </c>
      <c r="L19" s="316">
        <f>K21-15</f>
        <v>44778</v>
      </c>
      <c r="M19" s="115"/>
      <c r="N19" s="444"/>
      <c r="O19" s="155">
        <v>5</v>
      </c>
      <c r="P19" s="155">
        <v>6</v>
      </c>
      <c r="Q19" s="155">
        <v>7</v>
      </c>
      <c r="R19" s="155">
        <v>8</v>
      </c>
      <c r="S19" s="155">
        <v>9</v>
      </c>
      <c r="T19" s="155">
        <v>10</v>
      </c>
      <c r="U19" s="155">
        <v>11</v>
      </c>
      <c r="V19" s="115"/>
      <c r="W19" s="444"/>
      <c r="X19" s="156">
        <v>3</v>
      </c>
      <c r="Y19" s="156">
        <v>4</v>
      </c>
      <c r="Z19" s="156">
        <v>5</v>
      </c>
      <c r="AA19" s="156">
        <v>6</v>
      </c>
      <c r="AB19" s="156">
        <v>7</v>
      </c>
      <c r="AC19" s="156">
        <v>8</v>
      </c>
      <c r="AD19" s="156">
        <v>9</v>
      </c>
    </row>
    <row r="20" spans="1:30" x14ac:dyDescent="0.25">
      <c r="B20" s="4"/>
      <c r="F20" s="115"/>
      <c r="G20" s="455"/>
      <c r="H20" s="57" t="s">
        <v>203</v>
      </c>
      <c r="I20" s="122" t="s">
        <v>193</v>
      </c>
      <c r="J20" s="122" t="s">
        <v>226</v>
      </c>
      <c r="K20" s="316">
        <f>K21-12</f>
        <v>44781</v>
      </c>
      <c r="L20" s="316">
        <f>K21-4</f>
        <v>44789</v>
      </c>
      <c r="M20" s="115"/>
      <c r="N20" s="444"/>
      <c r="O20" s="157" t="s">
        <v>674</v>
      </c>
      <c r="P20" s="157" t="s">
        <v>675</v>
      </c>
      <c r="Q20" s="157" t="s">
        <v>675</v>
      </c>
      <c r="R20" s="157" t="s">
        <v>675</v>
      </c>
      <c r="S20" s="157" t="s">
        <v>675</v>
      </c>
      <c r="T20" s="157" t="s">
        <v>675</v>
      </c>
      <c r="U20" s="157" t="s">
        <v>675</v>
      </c>
      <c r="V20" s="115"/>
      <c r="W20" s="444"/>
      <c r="X20" s="158" t="s">
        <v>680</v>
      </c>
      <c r="Y20" s="158" t="s">
        <v>678</v>
      </c>
      <c r="Z20" s="158" t="s">
        <v>678</v>
      </c>
      <c r="AA20" s="158" t="s">
        <v>678</v>
      </c>
      <c r="AB20" s="158" t="s">
        <v>678</v>
      </c>
      <c r="AC20" s="158" t="s">
        <v>678</v>
      </c>
      <c r="AD20" s="158" t="s">
        <v>678</v>
      </c>
    </row>
    <row r="21" spans="1:30" x14ac:dyDescent="0.25">
      <c r="B21" s="4"/>
      <c r="F21" s="115"/>
      <c r="G21" s="456"/>
      <c r="H21" s="57" t="s">
        <v>205</v>
      </c>
      <c r="I21" s="122" t="s">
        <v>196</v>
      </c>
      <c r="J21" s="122" t="s">
        <v>227</v>
      </c>
      <c r="K21" s="457">
        <v>44793</v>
      </c>
      <c r="L21" s="457"/>
      <c r="M21" s="115"/>
      <c r="N21" s="444"/>
      <c r="O21" s="155">
        <v>12</v>
      </c>
      <c r="P21" s="155">
        <v>13</v>
      </c>
      <c r="Q21" s="155">
        <v>14</v>
      </c>
      <c r="R21" s="152">
        <v>15</v>
      </c>
      <c r="S21" s="152">
        <v>16</v>
      </c>
      <c r="T21" s="152">
        <v>17</v>
      </c>
      <c r="U21" s="152">
        <v>18</v>
      </c>
      <c r="V21" s="115"/>
      <c r="W21" s="444"/>
      <c r="X21" s="156">
        <v>10</v>
      </c>
      <c r="Y21" s="156">
        <v>11</v>
      </c>
      <c r="Z21" s="156">
        <v>12</v>
      </c>
      <c r="AA21" s="163">
        <v>13</v>
      </c>
      <c r="AB21" s="163">
        <v>14</v>
      </c>
      <c r="AC21" s="163">
        <v>15</v>
      </c>
      <c r="AD21" s="163">
        <v>16</v>
      </c>
    </row>
    <row r="22" spans="1:30" x14ac:dyDescent="0.25">
      <c r="B22" s="4"/>
      <c r="F22" s="115"/>
      <c r="K22" s="159"/>
      <c r="L22" s="160"/>
      <c r="M22" s="115"/>
      <c r="N22" s="444"/>
      <c r="O22" s="157" t="s">
        <v>675</v>
      </c>
      <c r="P22" s="157" t="s">
        <v>675</v>
      </c>
      <c r="Q22" s="157" t="s">
        <v>675</v>
      </c>
      <c r="R22" s="326" t="s">
        <v>676</v>
      </c>
      <c r="S22" s="326" t="s">
        <v>676</v>
      </c>
      <c r="T22" s="326" t="s">
        <v>676</v>
      </c>
      <c r="U22" s="326" t="s">
        <v>676</v>
      </c>
      <c r="V22" s="115"/>
      <c r="W22" s="444"/>
      <c r="X22" s="158" t="s">
        <v>678</v>
      </c>
      <c r="Y22" s="158" t="s">
        <v>678</v>
      </c>
      <c r="Z22" s="158" t="s">
        <v>678</v>
      </c>
      <c r="AA22" s="167" t="s">
        <v>679</v>
      </c>
      <c r="AB22" s="167" t="s">
        <v>679</v>
      </c>
      <c r="AC22" s="167" t="s">
        <v>679</v>
      </c>
      <c r="AD22" s="167" t="s">
        <v>679</v>
      </c>
    </row>
    <row r="23" spans="1:30" x14ac:dyDescent="0.25">
      <c r="B23" s="4"/>
      <c r="F23" s="115"/>
      <c r="G23" t="s">
        <v>228</v>
      </c>
      <c r="H23" s="161" t="s">
        <v>229</v>
      </c>
      <c r="I23" s="458" t="s">
        <v>230</v>
      </c>
      <c r="J23" s="459"/>
      <c r="K23" s="459"/>
      <c r="L23" s="460"/>
      <c r="M23" s="115"/>
      <c r="N23" s="444"/>
      <c r="O23" s="152">
        <v>19</v>
      </c>
      <c r="P23" s="152">
        <v>20</v>
      </c>
      <c r="Q23" s="152">
        <v>21</v>
      </c>
      <c r="R23" s="152">
        <v>22</v>
      </c>
      <c r="S23" s="152">
        <v>23</v>
      </c>
      <c r="T23" s="162">
        <v>24</v>
      </c>
      <c r="U23" s="162">
        <v>25</v>
      </c>
      <c r="V23" s="115"/>
      <c r="W23" s="444"/>
      <c r="X23" s="163">
        <v>17</v>
      </c>
      <c r="Y23" s="163">
        <v>18</v>
      </c>
      <c r="Z23" s="163">
        <v>19</v>
      </c>
      <c r="AA23" s="163">
        <v>20</v>
      </c>
      <c r="AB23" s="163">
        <v>21</v>
      </c>
      <c r="AC23" s="163">
        <v>22</v>
      </c>
      <c r="AD23" s="163">
        <v>23</v>
      </c>
    </row>
    <row r="24" spans="1:30" x14ac:dyDescent="0.25">
      <c r="D24" s="68" t="s">
        <v>231</v>
      </c>
      <c r="E24" s="68" t="s">
        <v>682</v>
      </c>
      <c r="F24" s="115"/>
      <c r="G24" t="s">
        <v>232</v>
      </c>
      <c r="H24" s="164"/>
      <c r="I24" s="447" t="s">
        <v>233</v>
      </c>
      <c r="J24" s="448"/>
      <c r="K24" s="448" t="s">
        <v>234</v>
      </c>
      <c r="L24" s="461"/>
      <c r="M24" s="115"/>
      <c r="N24" s="444"/>
      <c r="O24" s="326" t="s">
        <v>216</v>
      </c>
      <c r="P24" s="326" t="s">
        <v>216</v>
      </c>
      <c r="Q24" s="326" t="s">
        <v>216</v>
      </c>
      <c r="R24" s="326" t="s">
        <v>216</v>
      </c>
      <c r="S24" s="326" t="s">
        <v>216</v>
      </c>
      <c r="T24" s="326" t="s">
        <v>677</v>
      </c>
      <c r="U24" s="326" t="s">
        <v>677</v>
      </c>
      <c r="V24" s="115"/>
      <c r="W24" s="444"/>
      <c r="X24" s="167" t="s">
        <v>224</v>
      </c>
      <c r="Y24" s="167" t="s">
        <v>224</v>
      </c>
      <c r="Z24" s="167" t="s">
        <v>224</v>
      </c>
      <c r="AA24" s="167" t="s">
        <v>224</v>
      </c>
      <c r="AB24" s="167" t="s">
        <v>224</v>
      </c>
      <c r="AC24" s="167" t="s">
        <v>224</v>
      </c>
      <c r="AD24" s="167" t="s">
        <v>224</v>
      </c>
    </row>
    <row r="25" spans="1:30" x14ac:dyDescent="0.25">
      <c r="A25" s="193">
        <v>1</v>
      </c>
      <c r="B25" s="379">
        <v>44671</v>
      </c>
      <c r="C25" s="379">
        <v>44684</v>
      </c>
      <c r="D25" s="111" t="s">
        <v>689</v>
      </c>
      <c r="E25" s="111" t="s">
        <v>683</v>
      </c>
      <c r="F25" s="115"/>
      <c r="H25" s="164" t="s">
        <v>236</v>
      </c>
      <c r="I25" s="447" t="s">
        <v>237</v>
      </c>
      <c r="J25" s="448"/>
      <c r="K25" s="449" t="s">
        <v>238</v>
      </c>
      <c r="L25" s="450"/>
      <c r="M25" s="115"/>
      <c r="N25" s="444"/>
      <c r="O25" s="152">
        <v>26</v>
      </c>
      <c r="P25" s="152">
        <v>27</v>
      </c>
      <c r="Q25" s="152">
        <v>28</v>
      </c>
      <c r="R25" s="156">
        <v>29</v>
      </c>
      <c r="S25" s="156">
        <v>30</v>
      </c>
      <c r="V25" s="115"/>
      <c r="W25" s="444"/>
      <c r="X25" s="163">
        <v>24</v>
      </c>
      <c r="Y25" s="163">
        <v>25</v>
      </c>
      <c r="Z25" s="163">
        <v>26</v>
      </c>
      <c r="AA25" s="163">
        <v>27</v>
      </c>
      <c r="AB25" s="163">
        <v>28</v>
      </c>
      <c r="AC25" s="163">
        <v>29</v>
      </c>
      <c r="AD25" s="163">
        <v>30</v>
      </c>
    </row>
    <row r="26" spans="1:30" x14ac:dyDescent="0.25">
      <c r="A26" s="193">
        <v>2</v>
      </c>
      <c r="B26" s="379">
        <v>44685</v>
      </c>
      <c r="C26" s="379">
        <v>44698</v>
      </c>
      <c r="D26" s="4" t="s">
        <v>690</v>
      </c>
      <c r="E26" s="4" t="s">
        <v>684</v>
      </c>
      <c r="F26" s="115"/>
      <c r="H26" s="164" t="s">
        <v>239</v>
      </c>
      <c r="I26" s="165" t="s">
        <v>240</v>
      </c>
      <c r="J26" s="64"/>
      <c r="K26" s="64" t="s">
        <v>241</v>
      </c>
      <c r="L26" s="166"/>
      <c r="M26" s="115"/>
      <c r="N26" s="444"/>
      <c r="O26" s="326" t="s">
        <v>677</v>
      </c>
      <c r="P26" s="154" t="s">
        <v>217</v>
      </c>
      <c r="Q26" s="154" t="s">
        <v>217</v>
      </c>
      <c r="R26" s="158" t="s">
        <v>217</v>
      </c>
      <c r="S26" s="158" t="s">
        <v>217</v>
      </c>
      <c r="V26" s="115"/>
      <c r="W26" s="444"/>
      <c r="X26" s="167" t="s">
        <v>224</v>
      </c>
      <c r="Y26" s="167" t="s">
        <v>224</v>
      </c>
      <c r="Z26" s="167" t="s">
        <v>224</v>
      </c>
      <c r="AA26" s="167" t="s">
        <v>224</v>
      </c>
      <c r="AB26" s="167" t="s">
        <v>224</v>
      </c>
      <c r="AC26" s="167" t="s">
        <v>681</v>
      </c>
      <c r="AD26" s="167" t="s">
        <v>681</v>
      </c>
    </row>
    <row r="27" spans="1:30" x14ac:dyDescent="0.25">
      <c r="A27" s="193">
        <v>3</v>
      </c>
      <c r="B27" s="379">
        <v>44699</v>
      </c>
      <c r="C27" s="379">
        <v>44712</v>
      </c>
      <c r="D27" s="4" t="s">
        <v>691</v>
      </c>
      <c r="E27" s="4" t="s">
        <v>685</v>
      </c>
      <c r="F27" s="115"/>
      <c r="H27" s="164" t="s">
        <v>243</v>
      </c>
      <c r="I27" s="447" t="s">
        <v>244</v>
      </c>
      <c r="J27" s="448"/>
      <c r="K27" s="449" t="s">
        <v>245</v>
      </c>
      <c r="L27" s="450"/>
      <c r="M27" s="115"/>
      <c r="N27" s="444"/>
      <c r="V27" s="115"/>
      <c r="X27" s="163">
        <v>31</v>
      </c>
    </row>
    <row r="28" spans="1:30" x14ac:dyDescent="0.25">
      <c r="A28" s="193">
        <v>4</v>
      </c>
      <c r="B28" s="379">
        <v>44713</v>
      </c>
      <c r="C28" s="379">
        <v>44726</v>
      </c>
      <c r="D28" s="4" t="s">
        <v>692</v>
      </c>
      <c r="E28" s="4" t="s">
        <v>686</v>
      </c>
      <c r="F28" s="115"/>
      <c r="H28" s="164" t="s">
        <v>246</v>
      </c>
      <c r="I28" s="447" t="s">
        <v>247</v>
      </c>
      <c r="J28" s="448"/>
      <c r="K28" s="64" t="s">
        <v>248</v>
      </c>
      <c r="L28" s="166"/>
      <c r="M28" s="115"/>
      <c r="N28" s="444"/>
      <c r="V28" s="115"/>
      <c r="X28" s="167" t="s">
        <v>681</v>
      </c>
    </row>
    <row r="29" spans="1:30" ht="15.75" thickBot="1" x14ac:dyDescent="0.3">
      <c r="A29" s="193">
        <v>5</v>
      </c>
      <c r="B29" s="379">
        <v>44727</v>
      </c>
      <c r="C29" s="379">
        <v>44740</v>
      </c>
      <c r="D29" s="4" t="s">
        <v>693</v>
      </c>
      <c r="E29" s="4" t="s">
        <v>687</v>
      </c>
      <c r="F29" s="115"/>
      <c r="H29" s="168"/>
      <c r="I29" s="451" t="s">
        <v>249</v>
      </c>
      <c r="J29" s="452"/>
      <c r="K29" s="452" t="s">
        <v>250</v>
      </c>
      <c r="L29" s="453"/>
      <c r="M29" s="115"/>
    </row>
    <row r="30" spans="1:30" x14ac:dyDescent="0.25">
      <c r="A30" s="193">
        <v>6</v>
      </c>
      <c r="B30" s="379">
        <v>44741</v>
      </c>
      <c r="C30" s="379">
        <v>44754</v>
      </c>
      <c r="D30" s="4" t="s">
        <v>694</v>
      </c>
      <c r="E30" s="4" t="s">
        <v>688</v>
      </c>
      <c r="F30" s="115"/>
      <c r="M30" s="115"/>
      <c r="O30" s="123" t="s">
        <v>183</v>
      </c>
      <c r="P30" s="123" t="s">
        <v>184</v>
      </c>
      <c r="Q30" s="123" t="s">
        <v>185</v>
      </c>
      <c r="R30" s="123" t="s">
        <v>186</v>
      </c>
      <c r="S30" s="123" t="s">
        <v>185</v>
      </c>
      <c r="T30" s="123" t="s">
        <v>187</v>
      </c>
      <c r="U30" s="123" t="s">
        <v>183</v>
      </c>
    </row>
    <row r="31" spans="1:30" x14ac:dyDescent="0.25">
      <c r="F31" s="115"/>
      <c r="M31" s="115"/>
      <c r="N31" s="444" t="s">
        <v>661</v>
      </c>
      <c r="O31" s="163"/>
      <c r="P31" s="163">
        <v>1</v>
      </c>
      <c r="Q31" s="163">
        <v>2</v>
      </c>
      <c r="R31" s="163">
        <v>3</v>
      </c>
      <c r="S31" s="163">
        <v>4</v>
      </c>
      <c r="T31" s="163">
        <v>5</v>
      </c>
      <c r="U31" s="163">
        <v>6</v>
      </c>
    </row>
    <row r="32" spans="1:30" x14ac:dyDescent="0.25">
      <c r="F32" s="115"/>
      <c r="H32">
        <f>E4-D4+1</f>
        <v>14</v>
      </c>
      <c r="I32">
        <f>E7-D7+1</f>
        <v>14</v>
      </c>
      <c r="M32" s="115"/>
      <c r="N32" s="444"/>
      <c r="O32" s="167"/>
      <c r="P32" s="167"/>
      <c r="Q32" s="167"/>
      <c r="R32" s="167"/>
      <c r="S32" s="167"/>
      <c r="T32" s="167"/>
      <c r="U32" s="167"/>
    </row>
    <row r="33" spans="1:21" x14ac:dyDescent="0.25">
      <c r="F33" s="115"/>
      <c r="H33">
        <f>K10-D4+1</f>
        <v>13</v>
      </c>
      <c r="I33">
        <f>L12-E7+1</f>
        <v>1</v>
      </c>
      <c r="M33" s="115"/>
      <c r="N33" s="444"/>
      <c r="O33" s="163">
        <v>7</v>
      </c>
      <c r="P33" s="163">
        <v>8</v>
      </c>
      <c r="Q33" s="163">
        <v>9</v>
      </c>
      <c r="R33" s="163">
        <v>10</v>
      </c>
      <c r="S33" s="163">
        <v>11</v>
      </c>
      <c r="T33" s="163">
        <v>12</v>
      </c>
      <c r="U33" s="163">
        <v>13</v>
      </c>
    </row>
    <row r="34" spans="1:21" x14ac:dyDescent="0.25">
      <c r="A34" s="104" t="s">
        <v>252</v>
      </c>
      <c r="B34" s="312">
        <v>44572</v>
      </c>
      <c r="C34" s="104">
        <v>1</v>
      </c>
      <c r="F34" s="115"/>
      <c r="H34">
        <f>CEILING((1-H33/H32)*5,1)</f>
        <v>1</v>
      </c>
      <c r="I34">
        <f>CEILING((1-I33/I32)*5,1)</f>
        <v>5</v>
      </c>
      <c r="M34" s="115"/>
      <c r="N34" s="444"/>
      <c r="O34" s="167"/>
      <c r="P34" s="167"/>
      <c r="Q34" s="167"/>
      <c r="R34" s="167"/>
      <c r="S34" s="167"/>
      <c r="T34" s="167"/>
      <c r="U34" s="167"/>
    </row>
    <row r="35" spans="1:21" x14ac:dyDescent="0.25">
      <c r="A35" s="104" t="s">
        <v>254</v>
      </c>
      <c r="B35" s="104"/>
      <c r="C35" s="104"/>
      <c r="F35" s="115"/>
      <c r="M35" s="115"/>
      <c r="N35" s="444"/>
      <c r="O35" s="163">
        <v>14</v>
      </c>
      <c r="P35" s="163">
        <v>15</v>
      </c>
      <c r="Q35" s="163">
        <v>16</v>
      </c>
      <c r="R35" s="163">
        <v>17</v>
      </c>
      <c r="S35" s="163">
        <v>18</v>
      </c>
      <c r="T35" s="163">
        <v>19</v>
      </c>
      <c r="U35" s="163">
        <v>20</v>
      </c>
    </row>
    <row r="36" spans="1:21" x14ac:dyDescent="0.25">
      <c r="A36" s="104" t="s">
        <v>255</v>
      </c>
      <c r="B36" s="104"/>
      <c r="C36" s="104"/>
      <c r="F36" s="115"/>
      <c r="M36" s="115"/>
      <c r="N36" s="444"/>
      <c r="O36" s="167"/>
      <c r="P36" s="167"/>
      <c r="Q36" s="167"/>
      <c r="R36" s="167"/>
      <c r="S36" s="167"/>
      <c r="T36" s="167"/>
      <c r="U36" s="167"/>
    </row>
    <row r="37" spans="1:21" x14ac:dyDescent="0.25">
      <c r="A37" s="104" t="s">
        <v>257</v>
      </c>
      <c r="B37" s="104" t="s">
        <v>258</v>
      </c>
      <c r="C37" s="104">
        <v>2</v>
      </c>
      <c r="F37" s="115"/>
      <c r="M37" s="115"/>
      <c r="N37" s="444"/>
      <c r="O37" s="163">
        <v>21</v>
      </c>
      <c r="P37" s="163">
        <v>22</v>
      </c>
      <c r="Q37" s="163">
        <v>23</v>
      </c>
      <c r="R37" s="163">
        <v>24</v>
      </c>
      <c r="S37" s="163">
        <v>25</v>
      </c>
      <c r="T37" s="163">
        <v>26</v>
      </c>
      <c r="U37" s="163">
        <v>27</v>
      </c>
    </row>
    <row r="38" spans="1:21" x14ac:dyDescent="0.25">
      <c r="A38" s="104" t="s">
        <v>259</v>
      </c>
      <c r="B38" s="104" t="s">
        <v>260</v>
      </c>
      <c r="C38" s="104">
        <v>4</v>
      </c>
      <c r="F38" s="115"/>
      <c r="M38" s="115"/>
      <c r="N38" s="444"/>
      <c r="O38" s="167"/>
      <c r="P38" s="167"/>
      <c r="Q38" s="167"/>
      <c r="R38" s="167"/>
      <c r="S38" s="167"/>
      <c r="T38" s="167"/>
      <c r="U38" s="167"/>
    </row>
    <row r="39" spans="1:21" x14ac:dyDescent="0.25">
      <c r="A39" s="104" t="s">
        <v>261</v>
      </c>
      <c r="B39" s="104"/>
      <c r="C39" s="104"/>
      <c r="F39" s="115"/>
      <c r="M39" s="115"/>
      <c r="N39" s="444"/>
      <c r="O39" s="163">
        <v>28</v>
      </c>
      <c r="P39" s="163">
        <v>29</v>
      </c>
      <c r="Q39" s="163">
        <v>30</v>
      </c>
      <c r="R39" s="163">
        <v>31</v>
      </c>
    </row>
    <row r="40" spans="1:21" x14ac:dyDescent="0.25">
      <c r="A40" s="104" t="s">
        <v>262</v>
      </c>
      <c r="B40" s="104" t="s">
        <v>263</v>
      </c>
      <c r="C40" s="104">
        <v>7</v>
      </c>
      <c r="F40" s="115"/>
      <c r="M40" s="115"/>
      <c r="N40" s="444"/>
      <c r="O40" s="167"/>
      <c r="P40" s="167"/>
      <c r="Q40" s="167"/>
      <c r="R40" s="167"/>
    </row>
    <row r="41" spans="1:21" x14ac:dyDescent="0.25">
      <c r="F41" s="115"/>
      <c r="M41" s="115"/>
    </row>
    <row r="42" spans="1:21" x14ac:dyDescent="0.25">
      <c r="F42" s="115"/>
      <c r="M42" s="115"/>
    </row>
    <row r="43" spans="1:21" ht="15.75" thickBot="1" x14ac:dyDescent="0.3">
      <c r="A43" s="169" t="s">
        <v>264</v>
      </c>
      <c r="B43" s="90"/>
      <c r="F43" s="115"/>
      <c r="M43" s="115"/>
    </row>
    <row r="44" spans="1:21" x14ac:dyDescent="0.25">
      <c r="A44" s="445" t="s">
        <v>265</v>
      </c>
      <c r="B44" s="170"/>
      <c r="F44" s="115"/>
      <c r="M44" s="115"/>
    </row>
    <row r="45" spans="1:21" ht="15.75" thickBot="1" x14ac:dyDescent="0.3">
      <c r="A45" s="446"/>
      <c r="B45" s="90"/>
      <c r="F45" s="115"/>
      <c r="M45" s="115"/>
    </row>
    <row r="46" spans="1:21" ht="15.75" thickBot="1" x14ac:dyDescent="0.3">
      <c r="A46" s="169" t="s">
        <v>266</v>
      </c>
      <c r="B46" s="171"/>
      <c r="F46" s="115"/>
      <c r="M46" s="115"/>
    </row>
    <row r="47" spans="1:21" ht="15.75" thickBot="1" x14ac:dyDescent="0.3">
      <c r="A47" s="169" t="s">
        <v>267</v>
      </c>
      <c r="B47" s="90"/>
      <c r="F47" s="115"/>
      <c r="M47" s="115"/>
    </row>
    <row r="48" spans="1:21" ht="15.75" thickBot="1" x14ac:dyDescent="0.3">
      <c r="A48" s="169" t="s">
        <v>268</v>
      </c>
      <c r="B48" s="172"/>
      <c r="F48" s="115"/>
      <c r="M48" s="115"/>
    </row>
    <row r="49" spans="1:13" ht="15.75" thickBot="1" x14ac:dyDescent="0.3">
      <c r="A49" s="169" t="s">
        <v>269</v>
      </c>
      <c r="B49" s="90"/>
      <c r="F49" s="115"/>
      <c r="M49" s="115"/>
    </row>
    <row r="50" spans="1:13" ht="15.75" thickBot="1" x14ac:dyDescent="0.3">
      <c r="A50" s="169" t="s">
        <v>270</v>
      </c>
      <c r="B50" s="171"/>
      <c r="F50" s="115"/>
      <c r="M50" s="115"/>
    </row>
    <row r="51" spans="1:13" ht="15.75" thickBot="1" x14ac:dyDescent="0.3">
      <c r="A51" s="169"/>
      <c r="B51" s="90"/>
      <c r="F51" s="115"/>
      <c r="M51" s="115"/>
    </row>
    <row r="52" spans="1:13" x14ac:dyDescent="0.25">
      <c r="F52" s="115"/>
      <c r="M52" s="115"/>
    </row>
    <row r="53" spans="1:13" x14ac:dyDescent="0.25">
      <c r="F53" s="115"/>
      <c r="M53" s="115"/>
    </row>
    <row r="54" spans="1:13" x14ac:dyDescent="0.25">
      <c r="F54" s="115"/>
      <c r="M54" s="115"/>
    </row>
    <row r="55" spans="1:13" x14ac:dyDescent="0.25">
      <c r="F55" s="115"/>
      <c r="M55" s="115"/>
    </row>
    <row r="56" spans="1:13" x14ac:dyDescent="0.25">
      <c r="F56" s="115"/>
      <c r="M56" s="115"/>
    </row>
    <row r="57" spans="1:13" x14ac:dyDescent="0.25">
      <c r="F57" s="115"/>
      <c r="M57" s="115"/>
    </row>
    <row r="58" spans="1:13" x14ac:dyDescent="0.25">
      <c r="F58" s="115"/>
      <c r="M58" s="115"/>
    </row>
    <row r="59" spans="1:13" x14ac:dyDescent="0.25">
      <c r="F59" s="115"/>
      <c r="M59" s="115"/>
    </row>
    <row r="60" spans="1:13" x14ac:dyDescent="0.25">
      <c r="F60" s="115"/>
      <c r="M60" s="115"/>
    </row>
  </sheetData>
  <mergeCells count="29">
    <mergeCell ref="N3:N12"/>
    <mergeCell ref="A2:A3"/>
    <mergeCell ref="G2:G5"/>
    <mergeCell ref="W3:W12"/>
    <mergeCell ref="A4:A9"/>
    <mergeCell ref="K5:L5"/>
    <mergeCell ref="G6:G9"/>
    <mergeCell ref="K9:L9"/>
    <mergeCell ref="A10:A11"/>
    <mergeCell ref="G10:G13"/>
    <mergeCell ref="K13:L13"/>
    <mergeCell ref="G14:G17"/>
    <mergeCell ref="K17:L17"/>
    <mergeCell ref="N17:N28"/>
    <mergeCell ref="W17:W26"/>
    <mergeCell ref="G18:G21"/>
    <mergeCell ref="K21:L21"/>
    <mergeCell ref="I23:L23"/>
    <mergeCell ref="I24:J24"/>
    <mergeCell ref="K24:L24"/>
    <mergeCell ref="N31:N40"/>
    <mergeCell ref="A44:A45"/>
    <mergeCell ref="I25:J25"/>
    <mergeCell ref="K25:L25"/>
    <mergeCell ref="I27:J27"/>
    <mergeCell ref="K27:L27"/>
    <mergeCell ref="I28:J28"/>
    <mergeCell ref="I29:J29"/>
    <mergeCell ref="K29:L29"/>
  </mergeCells>
  <phoneticPr fontId="32" type="noConversion"/>
  <conditionalFormatting sqref="A26">
    <cfRule type="expression" dxfId="180" priority="5">
      <formula>$B$26=1</formula>
    </cfRule>
  </conditionalFormatting>
  <conditionalFormatting sqref="A28">
    <cfRule type="expression" dxfId="179" priority="4">
      <formula>$B$28=1</formula>
    </cfRule>
  </conditionalFormatting>
  <conditionalFormatting sqref="A29:A30">
    <cfRule type="expression" dxfId="178" priority="3">
      <formula>$B$29=1</formula>
    </cfRule>
  </conditionalFormatting>
  <conditionalFormatting sqref="A25">
    <cfRule type="expression" dxfId="177" priority="2">
      <formula>$B$25=1</formula>
    </cfRule>
  </conditionalFormatting>
  <conditionalFormatting sqref="A27">
    <cfRule type="expression" dxfId="176" priority="1">
      <formula>$B$27=1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09D02-1C9D-41A6-AC21-74FC64B2B884}">
  <dimension ref="A1:AQ93"/>
  <sheetViews>
    <sheetView topLeftCell="A4" zoomScale="90" zoomScaleNormal="90" workbookViewId="0">
      <selection activeCell="O30" sqref="O30"/>
    </sheetView>
  </sheetViews>
  <sheetFormatPr defaultRowHeight="15" x14ac:dyDescent="0.25"/>
  <cols>
    <col min="3" max="3" width="28.85546875" bestFit="1" customWidth="1"/>
    <col min="4" max="4" width="14.5703125" bestFit="1" customWidth="1"/>
    <col min="5" max="5" width="10.28515625" customWidth="1"/>
    <col min="6" max="6" width="9.140625" customWidth="1"/>
    <col min="7" max="7" width="10.42578125" bestFit="1" customWidth="1"/>
    <col min="8" max="8" width="9.28515625" bestFit="1" customWidth="1"/>
    <col min="9" max="9" width="10.42578125" bestFit="1" customWidth="1"/>
    <col min="10" max="10" width="9.28515625" bestFit="1" customWidth="1"/>
    <col min="11" max="11" width="10.42578125" bestFit="1" customWidth="1"/>
    <col min="13" max="13" width="16.28515625" customWidth="1"/>
    <col min="14" max="14" width="16.28515625" hidden="1" customWidth="1"/>
    <col min="15" max="15" width="16.28515625" customWidth="1"/>
  </cols>
  <sheetData>
    <row r="1" spans="1:43" x14ac:dyDescent="0.25">
      <c r="B1" t="s">
        <v>172</v>
      </c>
      <c r="E1" s="313">
        <v>44657</v>
      </c>
      <c r="F1" s="129">
        <f t="shared" ref="F1:K1" si="0">E1+14</f>
        <v>44671</v>
      </c>
      <c r="G1" s="133">
        <f t="shared" si="0"/>
        <v>44685</v>
      </c>
      <c r="H1" s="136">
        <f t="shared" si="0"/>
        <v>44699</v>
      </c>
      <c r="I1" s="140">
        <f t="shared" si="0"/>
        <v>44713</v>
      </c>
      <c r="J1" s="143">
        <f t="shared" si="0"/>
        <v>44727</v>
      </c>
      <c r="K1" s="146">
        <f t="shared" si="0"/>
        <v>44741</v>
      </c>
      <c r="N1" t="s">
        <v>271</v>
      </c>
    </row>
    <row r="2" spans="1:43" x14ac:dyDescent="0.25">
      <c r="C2" s="47" t="s">
        <v>272</v>
      </c>
      <c r="D2" s="47" t="s">
        <v>273</v>
      </c>
      <c r="E2" s="47" t="s">
        <v>274</v>
      </c>
      <c r="F2" s="47" t="s">
        <v>275</v>
      </c>
      <c r="G2" s="47" t="s">
        <v>276</v>
      </c>
      <c r="H2" s="47" t="s">
        <v>277</v>
      </c>
      <c r="I2" s="47" t="s">
        <v>278</v>
      </c>
      <c r="J2" s="47" t="s">
        <v>279</v>
      </c>
      <c r="K2" s="47" t="s">
        <v>280</v>
      </c>
      <c r="N2" t="s">
        <v>281</v>
      </c>
      <c r="R2" t="s">
        <v>282</v>
      </c>
    </row>
    <row r="3" spans="1:43" ht="15.75" thickBot="1" x14ac:dyDescent="0.3">
      <c r="B3" t="s">
        <v>283</v>
      </c>
      <c r="C3" s="48" t="s">
        <v>284</v>
      </c>
      <c r="D3" s="37" t="s">
        <v>285</v>
      </c>
      <c r="E3" s="375">
        <v>1</v>
      </c>
      <c r="F3" s="376">
        <f t="shared" ref="F3:F15" si="1">(1-(COUNTIF($AE$10:$AQ$23, $B3)/10))*$E3</f>
        <v>0.9</v>
      </c>
      <c r="G3" s="376">
        <f t="shared" ref="G3:G15" si="2">(1-(COUNTIF($AE$24:$AQ$37, $B3)/10))*$E3</f>
        <v>1</v>
      </c>
      <c r="H3" s="376">
        <f t="shared" ref="H3:H15" si="3">(1-(COUNTIF($AE$38:$AQ$51, $B3)/10))*$E3</f>
        <v>0.9</v>
      </c>
      <c r="I3" s="376">
        <f t="shared" ref="I3:I15" si="4">(1-(COUNTIF($AE$52:$AQ$65, $B3)/10))*$E3</f>
        <v>1</v>
      </c>
      <c r="J3" s="376">
        <f t="shared" ref="J3:J15" si="5">(1-(COUNTIF($AE$66:$AQ$79, $B3)/10))*$E3</f>
        <v>1</v>
      </c>
      <c r="K3" s="376">
        <f t="shared" ref="K3:K15" si="6">(1-(COUNTIF($AE$80:$AQ$93, $B3)/10))*$E3</f>
        <v>1</v>
      </c>
      <c r="L3">
        <f t="shared" ref="L3:L27" si="7">SUM(F3:K3)*8</f>
        <v>46.4</v>
      </c>
      <c r="M3">
        <f t="shared" ref="M3:M13" si="8">SUM(F3:K3) *8</f>
        <v>46.4</v>
      </c>
      <c r="N3" t="s">
        <v>286</v>
      </c>
      <c r="R3" t="s">
        <v>287</v>
      </c>
    </row>
    <row r="4" spans="1:43" ht="15.75" thickBot="1" x14ac:dyDescent="0.3">
      <c r="B4" t="s">
        <v>288</v>
      </c>
      <c r="C4" s="48" t="s">
        <v>289</v>
      </c>
      <c r="D4" s="37" t="s">
        <v>285</v>
      </c>
      <c r="E4" s="375">
        <v>1</v>
      </c>
      <c r="F4" s="376">
        <f t="shared" si="1"/>
        <v>1</v>
      </c>
      <c r="G4" s="376">
        <f t="shared" si="2"/>
        <v>1</v>
      </c>
      <c r="H4" s="376">
        <f t="shared" si="3"/>
        <v>0.9</v>
      </c>
      <c r="I4" s="376">
        <f t="shared" si="4"/>
        <v>1</v>
      </c>
      <c r="J4" s="376">
        <f t="shared" si="5"/>
        <v>1</v>
      </c>
      <c r="K4" s="376">
        <f t="shared" si="6"/>
        <v>0.9</v>
      </c>
      <c r="L4">
        <f t="shared" si="7"/>
        <v>46.400000000000006</v>
      </c>
      <c r="M4">
        <f t="shared" si="8"/>
        <v>46.400000000000006</v>
      </c>
      <c r="N4" t="s">
        <v>290</v>
      </c>
      <c r="R4" t="s">
        <v>291</v>
      </c>
    </row>
    <row r="5" spans="1:43" ht="15.75" thickBot="1" x14ac:dyDescent="0.3">
      <c r="A5">
        <v>11</v>
      </c>
      <c r="B5" t="s">
        <v>292</v>
      </c>
      <c r="C5" s="48" t="s">
        <v>293</v>
      </c>
      <c r="D5" s="37" t="s">
        <v>285</v>
      </c>
      <c r="E5" s="375">
        <v>1</v>
      </c>
      <c r="F5" s="376">
        <f t="shared" si="1"/>
        <v>0.9</v>
      </c>
      <c r="G5" s="376">
        <f t="shared" si="2"/>
        <v>1</v>
      </c>
      <c r="H5" s="376">
        <f t="shared" si="3"/>
        <v>1</v>
      </c>
      <c r="I5" s="376">
        <f t="shared" si="4"/>
        <v>1</v>
      </c>
      <c r="J5" s="376">
        <f t="shared" si="5"/>
        <v>1</v>
      </c>
      <c r="K5" s="376">
        <f t="shared" si="6"/>
        <v>1</v>
      </c>
      <c r="L5">
        <f t="shared" si="7"/>
        <v>47.2</v>
      </c>
      <c r="M5">
        <f t="shared" si="8"/>
        <v>47.2</v>
      </c>
      <c r="N5" t="s">
        <v>294</v>
      </c>
      <c r="R5" t="s">
        <v>295</v>
      </c>
    </row>
    <row r="6" spans="1:43" ht="15.75" thickBot="1" x14ac:dyDescent="0.3">
      <c r="B6" t="s">
        <v>296</v>
      </c>
      <c r="C6" s="48" t="s">
        <v>297</v>
      </c>
      <c r="D6" s="37" t="s">
        <v>285</v>
      </c>
      <c r="E6" s="375">
        <v>0.9</v>
      </c>
      <c r="F6" s="376">
        <f t="shared" si="1"/>
        <v>0.9</v>
      </c>
      <c r="G6" s="376">
        <f t="shared" si="2"/>
        <v>0.9</v>
      </c>
      <c r="H6" s="376">
        <f t="shared" si="3"/>
        <v>0.9</v>
      </c>
      <c r="I6" s="376">
        <f t="shared" si="4"/>
        <v>0.9</v>
      </c>
      <c r="J6" s="376">
        <f t="shared" si="5"/>
        <v>0.9</v>
      </c>
      <c r="K6" s="376">
        <f t="shared" si="6"/>
        <v>0.9</v>
      </c>
      <c r="L6">
        <f t="shared" si="7"/>
        <v>43.2</v>
      </c>
      <c r="M6">
        <f t="shared" si="8"/>
        <v>43.2</v>
      </c>
    </row>
    <row r="7" spans="1:43" ht="15.75" thickBot="1" x14ac:dyDescent="0.3">
      <c r="B7" t="s">
        <v>298</v>
      </c>
      <c r="C7" s="48" t="s">
        <v>299</v>
      </c>
      <c r="D7" s="37" t="s">
        <v>285</v>
      </c>
      <c r="E7" s="375">
        <v>1</v>
      </c>
      <c r="F7" s="376">
        <f t="shared" si="1"/>
        <v>0.9</v>
      </c>
      <c r="G7" s="376">
        <f t="shared" si="2"/>
        <v>1</v>
      </c>
      <c r="H7" s="376">
        <f t="shared" si="3"/>
        <v>1</v>
      </c>
      <c r="I7" s="376">
        <f t="shared" si="4"/>
        <v>1</v>
      </c>
      <c r="J7" s="376">
        <f t="shared" si="5"/>
        <v>1</v>
      </c>
      <c r="K7" s="376">
        <f t="shared" si="6"/>
        <v>1</v>
      </c>
      <c r="L7">
        <f t="shared" si="7"/>
        <v>47.2</v>
      </c>
      <c r="M7">
        <f t="shared" si="8"/>
        <v>47.2</v>
      </c>
    </row>
    <row r="8" spans="1:43" ht="15.75" thickBot="1" x14ac:dyDescent="0.3">
      <c r="B8" t="s">
        <v>300</v>
      </c>
      <c r="C8" s="48" t="s">
        <v>301</v>
      </c>
      <c r="D8" s="37" t="s">
        <v>285</v>
      </c>
      <c r="E8" s="375">
        <v>1</v>
      </c>
      <c r="F8" s="376">
        <f t="shared" si="1"/>
        <v>0.7</v>
      </c>
      <c r="G8" s="376">
        <f t="shared" si="2"/>
        <v>0.9</v>
      </c>
      <c r="H8" s="376">
        <f t="shared" si="3"/>
        <v>0.9</v>
      </c>
      <c r="I8" s="376">
        <f t="shared" si="4"/>
        <v>1</v>
      </c>
      <c r="J8" s="376">
        <f t="shared" si="5"/>
        <v>1</v>
      </c>
      <c r="K8" s="376">
        <f t="shared" si="6"/>
        <v>1</v>
      </c>
      <c r="L8">
        <f t="shared" si="7"/>
        <v>44</v>
      </c>
      <c r="M8">
        <f t="shared" si="8"/>
        <v>44</v>
      </c>
      <c r="R8" s="329"/>
      <c r="S8" s="472" t="s">
        <v>667</v>
      </c>
      <c r="T8" s="473"/>
      <c r="U8" s="473"/>
      <c r="V8" s="473"/>
      <c r="W8" s="473"/>
      <c r="X8" s="473"/>
      <c r="Y8" s="473"/>
      <c r="Z8" s="473"/>
      <c r="AA8" s="473"/>
      <c r="AB8" s="473"/>
      <c r="AC8" s="473"/>
      <c r="AD8" s="473"/>
      <c r="AE8" s="472" t="s">
        <v>668</v>
      </c>
      <c r="AF8" s="473"/>
      <c r="AG8" s="473"/>
      <c r="AH8" s="473"/>
      <c r="AI8" s="473"/>
      <c r="AJ8" s="473"/>
      <c r="AK8" s="473"/>
      <c r="AL8" s="473"/>
      <c r="AM8" s="473"/>
      <c r="AN8" s="473"/>
      <c r="AO8" s="473"/>
      <c r="AP8" s="473"/>
      <c r="AQ8" s="474"/>
    </row>
    <row r="9" spans="1:43" ht="15.75" thickBot="1" x14ac:dyDescent="0.3">
      <c r="B9" t="s">
        <v>302</v>
      </c>
      <c r="C9" s="48" t="s">
        <v>303</v>
      </c>
      <c r="D9" s="37" t="s">
        <v>285</v>
      </c>
      <c r="E9" s="375">
        <v>1</v>
      </c>
      <c r="F9" s="376">
        <f t="shared" si="1"/>
        <v>0.9</v>
      </c>
      <c r="G9" s="376">
        <f t="shared" si="2"/>
        <v>1</v>
      </c>
      <c r="H9" s="376">
        <f t="shared" si="3"/>
        <v>1</v>
      </c>
      <c r="I9" s="376">
        <f t="shared" si="4"/>
        <v>1</v>
      </c>
      <c r="J9" s="376">
        <f t="shared" si="5"/>
        <v>1</v>
      </c>
      <c r="K9" s="376">
        <f t="shared" si="6"/>
        <v>1</v>
      </c>
      <c r="L9">
        <f t="shared" si="7"/>
        <v>47.2</v>
      </c>
      <c r="M9">
        <f t="shared" si="8"/>
        <v>47.2</v>
      </c>
      <c r="S9" s="348" t="s">
        <v>304</v>
      </c>
      <c r="T9" s="349" t="s">
        <v>305</v>
      </c>
      <c r="U9" s="349" t="s">
        <v>306</v>
      </c>
      <c r="V9" s="349" t="s">
        <v>212</v>
      </c>
      <c r="W9" s="349" t="s">
        <v>307</v>
      </c>
      <c r="X9" s="349" t="s">
        <v>296</v>
      </c>
      <c r="Y9" s="349" t="s">
        <v>308</v>
      </c>
      <c r="Z9" s="349" t="s">
        <v>309</v>
      </c>
      <c r="AA9" s="349" t="s">
        <v>310</v>
      </c>
      <c r="AB9" s="350" t="s">
        <v>311</v>
      </c>
      <c r="AC9" s="350" t="s">
        <v>312</v>
      </c>
      <c r="AD9" s="366" t="s">
        <v>313</v>
      </c>
      <c r="AE9" s="348" t="s">
        <v>283</v>
      </c>
      <c r="AF9" s="349" t="s">
        <v>288</v>
      </c>
      <c r="AG9" s="349" t="s">
        <v>292</v>
      </c>
      <c r="AH9" s="349" t="s">
        <v>296</v>
      </c>
      <c r="AI9" s="349" t="s">
        <v>298</v>
      </c>
      <c r="AJ9" s="349" t="s">
        <v>300</v>
      </c>
      <c r="AK9" s="349" t="s">
        <v>302</v>
      </c>
      <c r="AL9" s="349" t="s">
        <v>314</v>
      </c>
      <c r="AM9" s="349" t="s">
        <v>316</v>
      </c>
      <c r="AN9" s="350" t="s">
        <v>318</v>
      </c>
      <c r="AO9" s="350" t="s">
        <v>320</v>
      </c>
      <c r="AP9" s="350" t="s">
        <v>310</v>
      </c>
      <c r="AQ9" s="351" t="s">
        <v>212</v>
      </c>
    </row>
    <row r="10" spans="1:43" ht="15.75" thickBot="1" x14ac:dyDescent="0.3">
      <c r="B10" t="s">
        <v>314</v>
      </c>
      <c r="C10" s="48" t="s">
        <v>315</v>
      </c>
      <c r="D10" s="37" t="s">
        <v>285</v>
      </c>
      <c r="E10" s="375">
        <v>1</v>
      </c>
      <c r="F10" s="376">
        <f>(1-(COUNTIF($AE$10:$AQ$23, $B10)/10))*$E10</f>
        <v>0.8</v>
      </c>
      <c r="G10" s="376">
        <f t="shared" si="2"/>
        <v>1</v>
      </c>
      <c r="H10" s="376">
        <f t="shared" si="3"/>
        <v>1</v>
      </c>
      <c r="I10" s="376">
        <f t="shared" si="4"/>
        <v>1</v>
      </c>
      <c r="J10" s="376">
        <f t="shared" si="5"/>
        <v>1</v>
      </c>
      <c r="K10" s="376">
        <f t="shared" si="6"/>
        <v>1</v>
      </c>
      <c r="L10">
        <f t="shared" si="7"/>
        <v>46.4</v>
      </c>
      <c r="M10">
        <f t="shared" si="8"/>
        <v>46.4</v>
      </c>
      <c r="Q10" s="481" t="s">
        <v>347</v>
      </c>
      <c r="R10" s="330">
        <v>20</v>
      </c>
      <c r="S10" s="352"/>
      <c r="T10" s="227"/>
      <c r="U10" s="227"/>
      <c r="V10" s="227"/>
      <c r="W10" s="227"/>
      <c r="X10" s="227"/>
      <c r="Y10" s="227"/>
      <c r="Z10" s="227"/>
      <c r="AA10" s="227"/>
      <c r="AB10" s="227"/>
      <c r="AC10" s="227" t="s">
        <v>312</v>
      </c>
      <c r="AD10" s="367"/>
      <c r="AE10" s="352"/>
      <c r="AF10" s="227"/>
      <c r="AG10" s="227"/>
      <c r="AH10" s="227"/>
      <c r="AI10" s="227"/>
      <c r="AJ10" s="227"/>
      <c r="AK10" s="227"/>
      <c r="AL10" s="227"/>
      <c r="AM10" s="227"/>
      <c r="AN10" s="227"/>
      <c r="AO10" s="227"/>
      <c r="AP10" s="227"/>
      <c r="AQ10" s="353"/>
    </row>
    <row r="11" spans="1:43" ht="15.75" thickBot="1" x14ac:dyDescent="0.3">
      <c r="B11" t="s">
        <v>316</v>
      </c>
      <c r="C11" s="48" t="s">
        <v>317</v>
      </c>
      <c r="D11" s="37" t="s">
        <v>285</v>
      </c>
      <c r="E11" s="375">
        <v>1</v>
      </c>
      <c r="F11" s="376">
        <f t="shared" si="1"/>
        <v>0.9</v>
      </c>
      <c r="G11" s="376">
        <f t="shared" si="2"/>
        <v>1</v>
      </c>
      <c r="H11" s="376">
        <f t="shared" si="3"/>
        <v>1</v>
      </c>
      <c r="I11" s="376">
        <f t="shared" si="4"/>
        <v>1</v>
      </c>
      <c r="J11" s="376">
        <f t="shared" si="5"/>
        <v>1</v>
      </c>
      <c r="K11" s="376">
        <f t="shared" si="6"/>
        <v>1</v>
      </c>
      <c r="L11">
        <f t="shared" si="7"/>
        <v>47.2</v>
      </c>
      <c r="M11">
        <f t="shared" si="8"/>
        <v>47.2</v>
      </c>
      <c r="Q11" s="482"/>
      <c r="R11" s="331">
        <v>21</v>
      </c>
      <c r="S11" s="352"/>
      <c r="T11" s="227"/>
      <c r="U11" s="226"/>
      <c r="V11" s="227"/>
      <c r="W11" s="227"/>
      <c r="X11" s="227"/>
      <c r="Y11" s="227"/>
      <c r="Z11" s="227"/>
      <c r="AA11" s="227"/>
      <c r="AB11" s="227"/>
      <c r="AC11" s="227"/>
      <c r="AD11" s="367"/>
      <c r="AE11" s="352"/>
      <c r="AF11" s="227"/>
      <c r="AG11" s="226"/>
      <c r="AH11" s="227"/>
      <c r="AI11" s="227"/>
      <c r="AJ11" s="227"/>
      <c r="AK11" s="227"/>
      <c r="AL11" s="227"/>
      <c r="AM11" s="227"/>
      <c r="AN11" s="227"/>
      <c r="AO11" s="227"/>
      <c r="AP11" s="227"/>
      <c r="AQ11" s="353"/>
    </row>
    <row r="12" spans="1:43" ht="15.75" thickBot="1" x14ac:dyDescent="0.3">
      <c r="B12" t="s">
        <v>318</v>
      </c>
      <c r="C12" s="48" t="s">
        <v>319</v>
      </c>
      <c r="D12" s="37" t="s">
        <v>285</v>
      </c>
      <c r="E12" s="375">
        <v>1</v>
      </c>
      <c r="F12" s="376">
        <f t="shared" si="1"/>
        <v>0.9</v>
      </c>
      <c r="G12" s="376">
        <f t="shared" si="2"/>
        <v>1</v>
      </c>
      <c r="H12" s="376">
        <f t="shared" si="3"/>
        <v>1</v>
      </c>
      <c r="I12" s="376">
        <f t="shared" si="4"/>
        <v>1</v>
      </c>
      <c r="J12" s="376">
        <f t="shared" si="5"/>
        <v>1</v>
      </c>
      <c r="K12" s="376">
        <f t="shared" si="6"/>
        <v>1</v>
      </c>
      <c r="L12">
        <f t="shared" si="7"/>
        <v>47.2</v>
      </c>
      <c r="M12">
        <f t="shared" si="8"/>
        <v>47.2</v>
      </c>
      <c r="Q12" s="482"/>
      <c r="R12" s="331">
        <v>22</v>
      </c>
      <c r="S12" s="352"/>
      <c r="T12" s="227"/>
      <c r="U12" s="226"/>
      <c r="V12" s="227"/>
      <c r="W12" s="227"/>
      <c r="X12" s="227"/>
      <c r="Y12" s="227"/>
      <c r="Z12" s="227"/>
      <c r="AA12" s="227"/>
      <c r="AB12" s="227"/>
      <c r="AC12" s="227"/>
      <c r="AD12" s="367"/>
      <c r="AE12" s="352"/>
      <c r="AF12" s="227"/>
      <c r="AG12" s="226"/>
      <c r="AH12" s="227"/>
      <c r="AI12" s="227"/>
      <c r="AJ12" s="227"/>
      <c r="AK12" s="227"/>
      <c r="AL12" s="227" t="s">
        <v>314</v>
      </c>
      <c r="AM12" s="227"/>
      <c r="AN12" s="227"/>
      <c r="AO12" s="227"/>
      <c r="AP12" s="227"/>
      <c r="AQ12" s="353"/>
    </row>
    <row r="13" spans="1:43" ht="15.75" thickBot="1" x14ac:dyDescent="0.3">
      <c r="B13" t="s">
        <v>320</v>
      </c>
      <c r="C13" s="48" t="s">
        <v>763</v>
      </c>
      <c r="D13" s="37" t="s">
        <v>285</v>
      </c>
      <c r="E13" s="375">
        <v>1</v>
      </c>
      <c r="F13" s="376">
        <f t="shared" si="1"/>
        <v>0.9</v>
      </c>
      <c r="G13" s="376">
        <f t="shared" si="2"/>
        <v>1</v>
      </c>
      <c r="H13" s="376">
        <f t="shared" si="3"/>
        <v>1</v>
      </c>
      <c r="I13" s="376">
        <f t="shared" si="4"/>
        <v>1</v>
      </c>
      <c r="J13" s="376">
        <f t="shared" si="5"/>
        <v>1</v>
      </c>
      <c r="K13" s="376">
        <f t="shared" si="6"/>
        <v>1</v>
      </c>
      <c r="L13">
        <f t="shared" si="7"/>
        <v>47.2</v>
      </c>
      <c r="M13">
        <f t="shared" si="8"/>
        <v>47.2</v>
      </c>
      <c r="Q13" s="482"/>
      <c r="R13" s="331">
        <v>23</v>
      </c>
      <c r="S13" s="352"/>
      <c r="T13" s="227"/>
      <c r="U13" s="227"/>
      <c r="V13" s="227"/>
      <c r="W13" s="227"/>
      <c r="X13" s="227"/>
      <c r="Y13" s="227"/>
      <c r="Z13" s="227"/>
      <c r="AA13" s="227"/>
      <c r="AB13" s="227"/>
      <c r="AC13" s="227"/>
      <c r="AD13" s="367"/>
      <c r="AE13" s="352"/>
      <c r="AF13" s="227"/>
      <c r="AG13" s="227"/>
      <c r="AH13" s="227"/>
      <c r="AI13" s="227"/>
      <c r="AJ13" s="227"/>
      <c r="AK13" s="227"/>
      <c r="AL13" s="227"/>
      <c r="AM13" s="227"/>
      <c r="AN13" s="227"/>
      <c r="AO13" s="227"/>
      <c r="AP13" s="227"/>
      <c r="AQ13" s="353"/>
    </row>
    <row r="14" spans="1:43" ht="15.75" thickBot="1" x14ac:dyDescent="0.3">
      <c r="B14" t="s">
        <v>310</v>
      </c>
      <c r="C14" s="48" t="s">
        <v>331</v>
      </c>
      <c r="D14" s="37" t="s">
        <v>285</v>
      </c>
      <c r="E14" s="375">
        <v>0.2</v>
      </c>
      <c r="F14" s="376">
        <f t="shared" si="1"/>
        <v>0.2</v>
      </c>
      <c r="G14" s="376">
        <f t="shared" si="2"/>
        <v>0.2</v>
      </c>
      <c r="H14" s="376">
        <f t="shared" si="3"/>
        <v>0.18000000000000002</v>
      </c>
      <c r="I14" s="376">
        <f t="shared" si="4"/>
        <v>0.2</v>
      </c>
      <c r="J14" s="376">
        <f t="shared" si="5"/>
        <v>0.2</v>
      </c>
      <c r="K14" s="376">
        <f t="shared" si="6"/>
        <v>0.18000000000000002</v>
      </c>
      <c r="L14">
        <f t="shared" si="7"/>
        <v>9.2799999999999994</v>
      </c>
      <c r="M14">
        <f>SUM(F14:K14) *8</f>
        <v>9.2799999999999994</v>
      </c>
      <c r="Q14" s="482"/>
      <c r="R14" s="331">
        <v>24</v>
      </c>
      <c r="S14" s="352"/>
      <c r="T14" s="227"/>
      <c r="U14" s="227"/>
      <c r="V14" s="227"/>
      <c r="W14" s="227"/>
      <c r="X14" s="227"/>
      <c r="Y14" s="227"/>
      <c r="Z14" s="227"/>
      <c r="AA14" s="227"/>
      <c r="AB14" s="227"/>
      <c r="AC14" s="227"/>
      <c r="AD14" s="367"/>
      <c r="AE14" s="352"/>
      <c r="AF14" s="227"/>
      <c r="AG14" s="227"/>
      <c r="AH14" s="227"/>
      <c r="AI14" s="227"/>
      <c r="AJ14" s="227"/>
      <c r="AK14" s="227"/>
      <c r="AL14" s="227"/>
      <c r="AM14" s="227"/>
      <c r="AN14" s="227"/>
      <c r="AO14" s="227"/>
      <c r="AP14" s="227"/>
      <c r="AQ14" s="353"/>
    </row>
    <row r="15" spans="1:43" ht="15.75" thickBot="1" x14ac:dyDescent="0.3">
      <c r="B15" t="s">
        <v>212</v>
      </c>
      <c r="C15" s="48" t="s">
        <v>326</v>
      </c>
      <c r="D15" s="37" t="s">
        <v>285</v>
      </c>
      <c r="E15" s="375">
        <v>0.4</v>
      </c>
      <c r="F15" s="376">
        <f t="shared" si="1"/>
        <v>0.4</v>
      </c>
      <c r="G15" s="376">
        <f t="shared" si="2"/>
        <v>0.4</v>
      </c>
      <c r="H15" s="376">
        <f t="shared" si="3"/>
        <v>0.36000000000000004</v>
      </c>
      <c r="I15" s="376">
        <f t="shared" si="4"/>
        <v>0.4</v>
      </c>
      <c r="J15" s="376">
        <f t="shared" si="5"/>
        <v>0.27999999999999997</v>
      </c>
      <c r="K15" s="376">
        <f t="shared" si="6"/>
        <v>0.36000000000000004</v>
      </c>
      <c r="L15">
        <f t="shared" si="7"/>
        <v>17.600000000000001</v>
      </c>
      <c r="M15">
        <f>SUM(F15:K15) *8</f>
        <v>17.600000000000001</v>
      </c>
      <c r="Q15" s="482"/>
      <c r="R15" s="331">
        <v>25</v>
      </c>
      <c r="S15" s="352"/>
      <c r="T15" s="227"/>
      <c r="U15" s="226"/>
      <c r="V15" s="227"/>
      <c r="W15" s="227"/>
      <c r="X15" s="227"/>
      <c r="Y15" s="227"/>
      <c r="Z15" s="227"/>
      <c r="AA15" s="227"/>
      <c r="AB15" s="227"/>
      <c r="AC15" s="227"/>
      <c r="AD15" s="367"/>
      <c r="AE15" s="352"/>
      <c r="AF15" s="227"/>
      <c r="AG15" s="226"/>
      <c r="AH15" s="227"/>
      <c r="AI15" s="227"/>
      <c r="AJ15" s="227"/>
      <c r="AK15" s="227"/>
      <c r="AL15" s="227"/>
      <c r="AM15" s="227"/>
      <c r="AN15" s="227"/>
      <c r="AO15" s="227"/>
      <c r="AP15" s="227"/>
      <c r="AQ15" s="353"/>
    </row>
    <row r="16" spans="1:43" ht="15.75" thickBot="1" x14ac:dyDescent="0.3">
      <c r="A16">
        <v>12</v>
      </c>
      <c r="B16" t="s">
        <v>304</v>
      </c>
      <c r="C16" s="48" t="s">
        <v>322</v>
      </c>
      <c r="D16" s="88" t="s">
        <v>323</v>
      </c>
      <c r="E16" s="377">
        <v>1</v>
      </c>
      <c r="F16" s="378">
        <f t="shared" ref="F16:F27" si="9">(1-(COUNTIF($S$10:$AD$23, $B16)/10))*$E16</f>
        <v>0.8</v>
      </c>
      <c r="G16" s="378">
        <f t="shared" ref="G16:G27" si="10">(1-(COUNTIF($S$24:$AD$37, $B16)/10))*$E16</f>
        <v>0.7</v>
      </c>
      <c r="H16" s="378">
        <f t="shared" ref="H16:H27" si="11">(1-(COUNTIF($S$38:$AD$51, $B16)/10))*$E16</f>
        <v>1</v>
      </c>
      <c r="I16" s="378">
        <f t="shared" ref="I16:I27" si="12">(1-(COUNTIF($S$52:$AD$65, $B16)/10))*$E16</f>
        <v>1</v>
      </c>
      <c r="J16" s="378">
        <f t="shared" ref="J16:J27" si="13">(1-(COUNTIF($S$66:$AD$79, $B16)/10))*$E16</f>
        <v>1</v>
      </c>
      <c r="K16" s="378">
        <f t="shared" ref="K16:K27" si="14">(1-(COUNTIF($S$80:$AD$93, $B16)/10))*$E16</f>
        <v>1</v>
      </c>
      <c r="L16">
        <f t="shared" si="7"/>
        <v>44</v>
      </c>
      <c r="M16">
        <f>SUM(F16:K16) *8</f>
        <v>44</v>
      </c>
      <c r="Q16" s="482"/>
      <c r="R16" s="331">
        <v>26</v>
      </c>
      <c r="S16" s="352"/>
      <c r="T16" s="227"/>
      <c r="U16" s="226"/>
      <c r="V16" s="227"/>
      <c r="W16" s="227"/>
      <c r="X16" s="227"/>
      <c r="Y16" s="227"/>
      <c r="Z16" s="227" t="s">
        <v>309</v>
      </c>
      <c r="AA16" s="227"/>
      <c r="AB16" s="227"/>
      <c r="AC16" s="227"/>
      <c r="AD16" s="367"/>
      <c r="AE16" s="352"/>
      <c r="AF16" s="227"/>
      <c r="AG16" s="226"/>
      <c r="AH16" s="227"/>
      <c r="AI16" s="227"/>
      <c r="AJ16" s="227"/>
      <c r="AK16" s="227"/>
      <c r="AL16" s="227"/>
      <c r="AM16" s="227"/>
      <c r="AN16" s="227"/>
      <c r="AO16" s="227"/>
      <c r="AP16" s="227"/>
      <c r="AQ16" s="353"/>
    </row>
    <row r="17" spans="2:43" ht="15.75" thickBot="1" x14ac:dyDescent="0.3">
      <c r="B17" t="s">
        <v>305</v>
      </c>
      <c r="C17" s="48" t="s">
        <v>324</v>
      </c>
      <c r="D17" s="88" t="s">
        <v>323</v>
      </c>
      <c r="E17" s="377">
        <v>1</v>
      </c>
      <c r="F17" s="378">
        <f t="shared" si="9"/>
        <v>0.8</v>
      </c>
      <c r="G17" s="378">
        <f t="shared" si="10"/>
        <v>0.7</v>
      </c>
      <c r="H17" s="378">
        <f t="shared" si="11"/>
        <v>1</v>
      </c>
      <c r="I17" s="378">
        <f t="shared" si="12"/>
        <v>1</v>
      </c>
      <c r="J17" s="378">
        <f t="shared" si="13"/>
        <v>1</v>
      </c>
      <c r="K17" s="378">
        <f t="shared" si="14"/>
        <v>1</v>
      </c>
      <c r="L17">
        <f t="shared" si="7"/>
        <v>44</v>
      </c>
      <c r="M17">
        <f t="shared" ref="M17:M27" si="15">SUM(F17:K17) *8</f>
        <v>44</v>
      </c>
      <c r="Q17" s="482"/>
      <c r="R17" s="331">
        <v>27</v>
      </c>
      <c r="S17" s="352"/>
      <c r="T17" s="227"/>
      <c r="U17" s="226"/>
      <c r="V17" s="227"/>
      <c r="W17" s="227"/>
      <c r="X17" s="227"/>
      <c r="Y17" s="227"/>
      <c r="Z17" s="227" t="s">
        <v>309</v>
      </c>
      <c r="AA17" s="227"/>
      <c r="AB17" s="227"/>
      <c r="AC17" s="227"/>
      <c r="AD17" s="367"/>
      <c r="AE17" s="352"/>
      <c r="AF17" s="227"/>
      <c r="AG17" s="226"/>
      <c r="AH17" s="227"/>
      <c r="AI17" s="227"/>
      <c r="AJ17" s="227"/>
      <c r="AK17" s="227"/>
      <c r="AL17" s="227"/>
      <c r="AM17" s="227"/>
      <c r="AN17" s="227"/>
      <c r="AO17" s="227"/>
      <c r="AP17" s="227"/>
      <c r="AQ17" s="353"/>
    </row>
    <row r="18" spans="2:43" ht="15.75" thickBot="1" x14ac:dyDescent="0.3">
      <c r="B18" t="s">
        <v>306</v>
      </c>
      <c r="C18" s="48" t="s">
        <v>325</v>
      </c>
      <c r="D18" s="88" t="s">
        <v>323</v>
      </c>
      <c r="E18" s="377">
        <v>1</v>
      </c>
      <c r="F18" s="378">
        <f t="shared" si="9"/>
        <v>0.9</v>
      </c>
      <c r="G18" s="378">
        <f t="shared" si="10"/>
        <v>1</v>
      </c>
      <c r="H18" s="378">
        <f t="shared" si="11"/>
        <v>1</v>
      </c>
      <c r="I18" s="378">
        <f t="shared" si="12"/>
        <v>0.8</v>
      </c>
      <c r="J18" s="378">
        <f t="shared" si="13"/>
        <v>1</v>
      </c>
      <c r="K18" s="378">
        <f t="shared" si="14"/>
        <v>1</v>
      </c>
      <c r="L18">
        <f t="shared" si="7"/>
        <v>45.6</v>
      </c>
      <c r="M18">
        <f t="shared" si="15"/>
        <v>45.6</v>
      </c>
      <c r="Q18" s="482"/>
      <c r="R18" s="331">
        <v>28</v>
      </c>
      <c r="S18" s="352"/>
      <c r="T18" s="227"/>
      <c r="U18" s="226"/>
      <c r="V18" s="227"/>
      <c r="W18" s="227"/>
      <c r="X18" s="227"/>
      <c r="Y18" s="227"/>
      <c r="Z18" s="227"/>
      <c r="AA18" s="227"/>
      <c r="AB18" s="227"/>
      <c r="AC18" s="227"/>
      <c r="AD18" s="367"/>
      <c r="AE18" s="352"/>
      <c r="AF18" s="227"/>
      <c r="AG18" s="226"/>
      <c r="AH18" s="227"/>
      <c r="AI18" s="227"/>
      <c r="AJ18" s="227"/>
      <c r="AK18" s="227"/>
      <c r="AL18" s="227"/>
      <c r="AM18" s="227"/>
      <c r="AN18" s="227"/>
      <c r="AO18" s="227"/>
      <c r="AP18" s="227"/>
      <c r="AQ18" s="353"/>
    </row>
    <row r="19" spans="2:43" ht="15.75" thickBot="1" x14ac:dyDescent="0.3">
      <c r="B19" t="s">
        <v>212</v>
      </c>
      <c r="C19" s="48" t="s">
        <v>326</v>
      </c>
      <c r="D19" s="88" t="s">
        <v>323</v>
      </c>
      <c r="E19" s="377">
        <v>0.6</v>
      </c>
      <c r="F19" s="378">
        <f t="shared" si="9"/>
        <v>0.6</v>
      </c>
      <c r="G19" s="378">
        <f t="shared" si="10"/>
        <v>0.6</v>
      </c>
      <c r="H19" s="378">
        <f t="shared" si="11"/>
        <v>0.54</v>
      </c>
      <c r="I19" s="378">
        <f t="shared" si="12"/>
        <v>0.6</v>
      </c>
      <c r="J19" s="378">
        <f t="shared" si="13"/>
        <v>0.42</v>
      </c>
      <c r="K19" s="378">
        <f t="shared" si="14"/>
        <v>0.54</v>
      </c>
      <c r="L19">
        <f t="shared" si="7"/>
        <v>26.4</v>
      </c>
      <c r="M19">
        <f t="shared" si="15"/>
        <v>26.4</v>
      </c>
      <c r="Q19" s="482"/>
      <c r="R19" s="331">
        <v>29</v>
      </c>
      <c r="S19" s="352"/>
      <c r="T19" s="227"/>
      <c r="U19" s="226"/>
      <c r="V19" s="227"/>
      <c r="W19" s="227"/>
      <c r="X19" s="227"/>
      <c r="Y19" s="227"/>
      <c r="Z19" s="227"/>
      <c r="AA19" s="227"/>
      <c r="AB19" s="227"/>
      <c r="AC19" s="227"/>
      <c r="AD19" s="367"/>
      <c r="AE19" s="352"/>
      <c r="AF19" s="227"/>
      <c r="AG19" s="226"/>
      <c r="AH19" s="227"/>
      <c r="AI19" s="227"/>
      <c r="AJ19" s="227" t="s">
        <v>300</v>
      </c>
      <c r="AK19" s="227"/>
      <c r="AL19" s="227"/>
      <c r="AM19" s="227"/>
      <c r="AN19" s="227"/>
      <c r="AO19" s="227"/>
      <c r="AP19" s="227"/>
      <c r="AQ19" s="353"/>
    </row>
    <row r="20" spans="2:43" ht="15.75" thickBot="1" x14ac:dyDescent="0.3">
      <c r="B20" t="s">
        <v>307</v>
      </c>
      <c r="C20" s="48" t="s">
        <v>327</v>
      </c>
      <c r="D20" s="88" t="s">
        <v>323</v>
      </c>
      <c r="E20" s="377">
        <v>1</v>
      </c>
      <c r="F20" s="378">
        <f t="shared" si="9"/>
        <v>0.8</v>
      </c>
      <c r="G20" s="378">
        <f t="shared" si="10"/>
        <v>1</v>
      </c>
      <c r="H20" s="378">
        <f t="shared" si="11"/>
        <v>1</v>
      </c>
      <c r="I20" s="378">
        <f t="shared" si="12"/>
        <v>1</v>
      </c>
      <c r="J20" s="378">
        <f t="shared" si="13"/>
        <v>1</v>
      </c>
      <c r="K20" s="378">
        <f t="shared" si="14"/>
        <v>1</v>
      </c>
      <c r="L20">
        <f t="shared" si="7"/>
        <v>46.4</v>
      </c>
      <c r="M20">
        <f t="shared" si="15"/>
        <v>46.4</v>
      </c>
      <c r="Q20" s="482"/>
      <c r="R20" s="331"/>
      <c r="S20" s="352"/>
      <c r="T20" s="227"/>
      <c r="U20" s="227"/>
      <c r="V20" s="227"/>
      <c r="W20" s="227"/>
      <c r="X20" s="227"/>
      <c r="Y20" s="227"/>
      <c r="Z20" s="227"/>
      <c r="AA20" s="227"/>
      <c r="AB20" s="227"/>
      <c r="AC20" s="227"/>
      <c r="AD20" s="367"/>
      <c r="AE20" s="352"/>
      <c r="AF20" s="227"/>
      <c r="AG20" s="227"/>
      <c r="AH20" s="227"/>
      <c r="AI20" s="227"/>
      <c r="AJ20" s="227" t="s">
        <v>300</v>
      </c>
      <c r="AK20" s="227"/>
      <c r="AL20" s="227"/>
      <c r="AM20" s="227"/>
      <c r="AN20" s="227"/>
      <c r="AO20" s="227"/>
      <c r="AP20" s="227"/>
      <c r="AQ20" s="353"/>
    </row>
    <row r="21" spans="2:43" ht="15.75" thickBot="1" x14ac:dyDescent="0.3">
      <c r="B21" t="s">
        <v>296</v>
      </c>
      <c r="C21" s="48" t="s">
        <v>328</v>
      </c>
      <c r="D21" s="88" t="s">
        <v>323</v>
      </c>
      <c r="E21" s="377">
        <v>0.1</v>
      </c>
      <c r="F21" s="378">
        <f t="shared" si="9"/>
        <v>0.1</v>
      </c>
      <c r="G21" s="378">
        <f t="shared" si="10"/>
        <v>0.1</v>
      </c>
      <c r="H21" s="378">
        <f t="shared" si="11"/>
        <v>9.0000000000000011E-2</v>
      </c>
      <c r="I21" s="378">
        <f t="shared" si="12"/>
        <v>0.1</v>
      </c>
      <c r="J21" s="378">
        <f t="shared" si="13"/>
        <v>0.1</v>
      </c>
      <c r="K21" s="378">
        <f t="shared" si="14"/>
        <v>9.0000000000000011E-2</v>
      </c>
      <c r="L21">
        <f t="shared" si="7"/>
        <v>4.6399999999999997</v>
      </c>
      <c r="M21">
        <f t="shared" si="15"/>
        <v>4.6399999999999997</v>
      </c>
      <c r="Q21" s="483"/>
      <c r="R21" s="332"/>
      <c r="S21" s="352"/>
      <c r="T21" s="227"/>
      <c r="U21" s="227"/>
      <c r="V21" s="227"/>
      <c r="W21" s="227"/>
      <c r="X21" s="227"/>
      <c r="Y21" s="227"/>
      <c r="Z21" s="227"/>
      <c r="AA21" s="227"/>
      <c r="AB21" s="227"/>
      <c r="AC21" s="227"/>
      <c r="AD21" s="367"/>
      <c r="AE21" s="352"/>
      <c r="AF21" s="227"/>
      <c r="AG21" s="227"/>
      <c r="AH21" s="227"/>
      <c r="AI21" s="227"/>
      <c r="AJ21" s="227"/>
      <c r="AK21" s="227"/>
      <c r="AL21" s="227"/>
      <c r="AM21" s="227"/>
      <c r="AN21" s="227"/>
      <c r="AO21" s="227"/>
      <c r="AP21" s="227"/>
      <c r="AQ21" s="353"/>
    </row>
    <row r="22" spans="2:43" ht="15.75" thickBot="1" x14ac:dyDescent="0.3">
      <c r="B22" t="s">
        <v>308</v>
      </c>
      <c r="C22" s="48" t="s">
        <v>329</v>
      </c>
      <c r="D22" s="88" t="s">
        <v>323</v>
      </c>
      <c r="E22" s="377">
        <v>1</v>
      </c>
      <c r="F22" s="378">
        <f t="shared" si="9"/>
        <v>0.9</v>
      </c>
      <c r="G22" s="378">
        <f t="shared" si="10"/>
        <v>1</v>
      </c>
      <c r="H22" s="378">
        <f t="shared" si="11"/>
        <v>0.9</v>
      </c>
      <c r="I22" s="378">
        <f t="shared" si="12"/>
        <v>0.7</v>
      </c>
      <c r="J22" s="378">
        <f t="shared" si="13"/>
        <v>1</v>
      </c>
      <c r="K22" s="378">
        <f t="shared" si="14"/>
        <v>1</v>
      </c>
      <c r="L22">
        <f t="shared" si="7"/>
        <v>44</v>
      </c>
      <c r="M22">
        <f t="shared" si="15"/>
        <v>44</v>
      </c>
      <c r="Q22" s="481" t="s">
        <v>251</v>
      </c>
      <c r="R22" s="330">
        <v>2</v>
      </c>
      <c r="S22" s="352" t="s">
        <v>304</v>
      </c>
      <c r="T22" s="404" t="s">
        <v>305</v>
      </c>
      <c r="U22" s="227" t="s">
        <v>306</v>
      </c>
      <c r="V22" s="227"/>
      <c r="W22" s="227" t="s">
        <v>307</v>
      </c>
      <c r="X22" s="227"/>
      <c r="Y22" s="227"/>
      <c r="Z22" s="227" t="s">
        <v>309</v>
      </c>
      <c r="AA22" s="227"/>
      <c r="AB22" s="227"/>
      <c r="AC22" s="227"/>
      <c r="AD22" s="367"/>
      <c r="AE22" s="352" t="s">
        <v>283</v>
      </c>
      <c r="AF22" s="227"/>
      <c r="AG22" s="227" t="s">
        <v>292</v>
      </c>
      <c r="AH22" s="227"/>
      <c r="AI22" s="227" t="s">
        <v>298</v>
      </c>
      <c r="AJ22" s="227" t="s">
        <v>300</v>
      </c>
      <c r="AK22" s="227" t="s">
        <v>302</v>
      </c>
      <c r="AL22" s="227" t="s">
        <v>314</v>
      </c>
      <c r="AM22" s="227" t="s">
        <v>316</v>
      </c>
      <c r="AN22" s="227" t="s">
        <v>318</v>
      </c>
      <c r="AO22" s="227" t="s">
        <v>320</v>
      </c>
      <c r="AP22" s="227"/>
      <c r="AQ22" s="353"/>
    </row>
    <row r="23" spans="2:43" ht="15.75" thickBot="1" x14ac:dyDescent="0.3">
      <c r="B23" t="s">
        <v>309</v>
      </c>
      <c r="C23" s="48" t="s">
        <v>330</v>
      </c>
      <c r="D23" s="88" t="s">
        <v>323</v>
      </c>
      <c r="E23" s="377">
        <v>1</v>
      </c>
      <c r="F23" s="378">
        <f t="shared" si="9"/>
        <v>0.6</v>
      </c>
      <c r="G23" s="378">
        <f t="shared" si="10"/>
        <v>1</v>
      </c>
      <c r="H23" s="378">
        <f t="shared" si="11"/>
        <v>1</v>
      </c>
      <c r="I23" s="378">
        <f t="shared" si="12"/>
        <v>1</v>
      </c>
      <c r="J23" s="378">
        <f t="shared" si="13"/>
        <v>1</v>
      </c>
      <c r="K23" s="378">
        <f t="shared" si="14"/>
        <v>1</v>
      </c>
      <c r="L23">
        <f t="shared" si="7"/>
        <v>44.8</v>
      </c>
      <c r="M23">
        <f t="shared" si="15"/>
        <v>44.8</v>
      </c>
      <c r="Q23" s="484"/>
      <c r="R23" s="333">
        <v>3</v>
      </c>
      <c r="S23" s="352" t="s">
        <v>304</v>
      </c>
      <c r="T23" s="404" t="s">
        <v>305</v>
      </c>
      <c r="U23" s="226"/>
      <c r="V23" s="227"/>
      <c r="W23" s="227" t="s">
        <v>307</v>
      </c>
      <c r="X23" s="227"/>
      <c r="Y23" s="227" t="s">
        <v>308</v>
      </c>
      <c r="Z23" s="227" t="s">
        <v>309</v>
      </c>
      <c r="AA23" s="227"/>
      <c r="AB23" s="227"/>
      <c r="AC23" s="227" t="s">
        <v>312</v>
      </c>
      <c r="AD23" s="367" t="s">
        <v>313</v>
      </c>
      <c r="AE23" s="352"/>
      <c r="AF23" s="227"/>
      <c r="AG23" s="226"/>
      <c r="AH23" s="227"/>
      <c r="AI23" s="227"/>
      <c r="AJ23" s="227"/>
      <c r="AK23" s="227"/>
      <c r="AL23" s="227"/>
      <c r="AM23" s="227"/>
      <c r="AN23" s="227"/>
      <c r="AO23" s="227"/>
      <c r="AP23" s="227"/>
      <c r="AQ23" s="353"/>
    </row>
    <row r="24" spans="2:43" ht="15.75" thickBot="1" x14ac:dyDescent="0.3">
      <c r="B24" t="s">
        <v>310</v>
      </c>
      <c r="C24" s="48" t="s">
        <v>331</v>
      </c>
      <c r="D24" s="88" t="s">
        <v>323</v>
      </c>
      <c r="E24" s="377">
        <v>0.8</v>
      </c>
      <c r="F24" s="378">
        <f t="shared" si="9"/>
        <v>0.8</v>
      </c>
      <c r="G24" s="378">
        <f t="shared" si="10"/>
        <v>0.8</v>
      </c>
      <c r="H24" s="378">
        <f t="shared" si="11"/>
        <v>0.72000000000000008</v>
      </c>
      <c r="I24" s="378">
        <f t="shared" si="12"/>
        <v>0.8</v>
      </c>
      <c r="J24" s="378">
        <f t="shared" si="13"/>
        <v>0.8</v>
      </c>
      <c r="K24" s="378">
        <f t="shared" si="14"/>
        <v>0.72000000000000008</v>
      </c>
      <c r="L24">
        <f t="shared" si="7"/>
        <v>37.119999999999997</v>
      </c>
      <c r="M24">
        <f t="shared" si="15"/>
        <v>37.119999999999997</v>
      </c>
      <c r="Q24" s="478" t="s">
        <v>251</v>
      </c>
      <c r="R24" s="334">
        <v>4</v>
      </c>
      <c r="S24" s="354" t="s">
        <v>304</v>
      </c>
      <c r="T24" s="403" t="s">
        <v>305</v>
      </c>
      <c r="U24" s="229"/>
      <c r="V24" s="229"/>
      <c r="W24" s="229"/>
      <c r="X24" s="229"/>
      <c r="Y24" s="229"/>
      <c r="Z24" s="229"/>
      <c r="AA24" s="229"/>
      <c r="AB24" s="229"/>
      <c r="AC24" s="228"/>
      <c r="AD24" s="368"/>
      <c r="AE24" s="354"/>
      <c r="AF24" s="229"/>
      <c r="AG24" s="229"/>
      <c r="AH24" s="229"/>
      <c r="AI24" s="229"/>
      <c r="AJ24" s="229"/>
      <c r="AK24" s="229"/>
      <c r="AL24" s="229"/>
      <c r="AM24" s="229"/>
      <c r="AN24" s="229"/>
      <c r="AO24" s="228"/>
      <c r="AP24" s="229"/>
      <c r="AQ24" s="355"/>
    </row>
    <row r="25" spans="2:43" ht="15.75" thickBot="1" x14ac:dyDescent="0.3">
      <c r="B25" t="s">
        <v>311</v>
      </c>
      <c r="C25" s="48" t="s">
        <v>332</v>
      </c>
      <c r="D25" s="88" t="s">
        <v>323</v>
      </c>
      <c r="E25" s="377">
        <v>1</v>
      </c>
      <c r="F25" s="378">
        <f t="shared" si="9"/>
        <v>1</v>
      </c>
      <c r="G25" s="378">
        <f t="shared" si="10"/>
        <v>1</v>
      </c>
      <c r="H25" s="378">
        <f t="shared" si="11"/>
        <v>0.9</v>
      </c>
      <c r="I25" s="378">
        <f t="shared" si="12"/>
        <v>1</v>
      </c>
      <c r="J25" s="378">
        <f t="shared" si="13"/>
        <v>1</v>
      </c>
      <c r="K25" s="378">
        <f t="shared" si="14"/>
        <v>0.9</v>
      </c>
      <c r="L25">
        <f t="shared" si="7"/>
        <v>46.400000000000006</v>
      </c>
      <c r="M25">
        <f t="shared" si="15"/>
        <v>46.400000000000006</v>
      </c>
      <c r="Q25" s="479"/>
      <c r="R25" s="335">
        <v>5</v>
      </c>
      <c r="S25" s="354" t="s">
        <v>304</v>
      </c>
      <c r="T25" s="403" t="s">
        <v>305</v>
      </c>
      <c r="U25" s="229"/>
      <c r="V25" s="229"/>
      <c r="W25" s="229"/>
      <c r="X25" s="229"/>
      <c r="Y25" s="229"/>
      <c r="Z25" s="229"/>
      <c r="AA25" s="229"/>
      <c r="AB25" s="229"/>
      <c r="AC25" s="228"/>
      <c r="AD25" s="368"/>
      <c r="AE25" s="354"/>
      <c r="AF25" s="229"/>
      <c r="AG25" s="229"/>
      <c r="AH25" s="229"/>
      <c r="AI25" s="229"/>
      <c r="AJ25" s="229"/>
      <c r="AK25" s="229"/>
      <c r="AL25" s="229"/>
      <c r="AM25" s="229"/>
      <c r="AN25" s="229"/>
      <c r="AO25" s="228"/>
      <c r="AP25" s="229"/>
      <c r="AQ25" s="355"/>
    </row>
    <row r="26" spans="2:43" ht="15.75" thickBot="1" x14ac:dyDescent="0.3">
      <c r="B26" t="s">
        <v>312</v>
      </c>
      <c r="C26" s="48" t="s">
        <v>333</v>
      </c>
      <c r="D26" s="88" t="s">
        <v>323</v>
      </c>
      <c r="E26" s="377">
        <v>1</v>
      </c>
      <c r="F26" s="378">
        <f t="shared" si="9"/>
        <v>0.8</v>
      </c>
      <c r="G26" s="378">
        <f t="shared" si="10"/>
        <v>1</v>
      </c>
      <c r="H26" s="378">
        <f t="shared" si="11"/>
        <v>1</v>
      </c>
      <c r="I26" s="378">
        <f t="shared" si="12"/>
        <v>1</v>
      </c>
      <c r="J26" s="378">
        <f t="shared" si="13"/>
        <v>1</v>
      </c>
      <c r="K26" s="378">
        <f t="shared" si="14"/>
        <v>1</v>
      </c>
      <c r="L26">
        <f t="shared" si="7"/>
        <v>46.4</v>
      </c>
      <c r="M26">
        <f t="shared" si="15"/>
        <v>46.4</v>
      </c>
      <c r="Q26" s="479"/>
      <c r="R26" s="335">
        <v>6</v>
      </c>
      <c r="S26" s="354" t="s">
        <v>304</v>
      </c>
      <c r="T26" s="403" t="s">
        <v>305</v>
      </c>
      <c r="U26" s="229"/>
      <c r="V26" s="229"/>
      <c r="W26" s="229"/>
      <c r="X26" s="229"/>
      <c r="Y26" s="229"/>
      <c r="Z26" s="229"/>
      <c r="AA26" s="229"/>
      <c r="AB26" s="229"/>
      <c r="AC26" s="229"/>
      <c r="AD26" s="368"/>
      <c r="AE26" s="354"/>
      <c r="AF26" s="229"/>
      <c r="AG26" s="229"/>
      <c r="AH26" s="229"/>
      <c r="AI26" s="229"/>
      <c r="AJ26" s="229"/>
      <c r="AK26" s="229"/>
      <c r="AL26" s="229"/>
      <c r="AM26" s="229"/>
      <c r="AN26" s="229"/>
      <c r="AO26" s="229"/>
      <c r="AP26" s="229"/>
      <c r="AQ26" s="355"/>
    </row>
    <row r="27" spans="2:43" ht="15.75" thickBot="1" x14ac:dyDescent="0.3">
      <c r="B27" t="s">
        <v>313</v>
      </c>
      <c r="C27" s="48" t="s">
        <v>334</v>
      </c>
      <c r="D27" s="88" t="s">
        <v>323</v>
      </c>
      <c r="E27" s="377">
        <v>1</v>
      </c>
      <c r="F27" s="378">
        <f t="shared" si="9"/>
        <v>0.9</v>
      </c>
      <c r="G27" s="378">
        <f t="shared" si="10"/>
        <v>1</v>
      </c>
      <c r="H27" s="378">
        <f t="shared" si="11"/>
        <v>0.9</v>
      </c>
      <c r="I27" s="378">
        <f t="shared" si="12"/>
        <v>0.7</v>
      </c>
      <c r="J27" s="378">
        <f t="shared" si="13"/>
        <v>1</v>
      </c>
      <c r="K27" s="378">
        <f t="shared" si="14"/>
        <v>1</v>
      </c>
      <c r="L27">
        <f t="shared" si="7"/>
        <v>44</v>
      </c>
      <c r="M27">
        <f t="shared" si="15"/>
        <v>44</v>
      </c>
      <c r="Q27" s="479"/>
      <c r="R27" s="335"/>
      <c r="S27" s="354"/>
      <c r="T27" s="229"/>
      <c r="U27" s="229"/>
      <c r="V27" s="229"/>
      <c r="W27" s="229"/>
      <c r="X27" s="229"/>
      <c r="Y27" s="229"/>
      <c r="Z27" s="229"/>
      <c r="AA27" s="229"/>
      <c r="AB27" s="229"/>
      <c r="AC27" s="229"/>
      <c r="AD27" s="368"/>
      <c r="AE27" s="354"/>
      <c r="AF27" s="229"/>
      <c r="AG27" s="229"/>
      <c r="AH27" s="229"/>
      <c r="AI27" s="229"/>
      <c r="AJ27" s="229"/>
      <c r="AK27" s="229"/>
      <c r="AL27" s="229"/>
      <c r="AM27" s="229"/>
      <c r="AN27" s="229"/>
      <c r="AO27" s="229"/>
      <c r="AP27" s="229"/>
      <c r="AQ27" s="355"/>
    </row>
    <row r="28" spans="2:43" x14ac:dyDescent="0.25">
      <c r="Q28" s="479"/>
      <c r="R28" s="335"/>
      <c r="S28" s="354"/>
      <c r="T28" s="229"/>
      <c r="U28" s="229"/>
      <c r="V28" s="229"/>
      <c r="W28" s="229"/>
      <c r="X28" s="229"/>
      <c r="Y28" s="229"/>
      <c r="Z28" s="229"/>
      <c r="AA28" s="229"/>
      <c r="AB28" s="229"/>
      <c r="AC28" s="229"/>
      <c r="AD28" s="368"/>
      <c r="AE28" s="354"/>
      <c r="AF28" s="229"/>
      <c r="AG28" s="229"/>
      <c r="AH28" s="229"/>
      <c r="AI28" s="229"/>
      <c r="AJ28" s="229"/>
      <c r="AK28" s="229"/>
      <c r="AL28" s="229"/>
      <c r="AM28" s="229"/>
      <c r="AN28" s="229"/>
      <c r="AO28" s="229"/>
      <c r="AP28" s="229"/>
      <c r="AQ28" s="355"/>
    </row>
    <row r="29" spans="2:43" x14ac:dyDescent="0.25">
      <c r="K29" s="104" t="s">
        <v>335</v>
      </c>
      <c r="L29" s="104"/>
      <c r="M29" s="104"/>
      <c r="Q29" s="479"/>
      <c r="R29" s="335">
        <v>9</v>
      </c>
      <c r="S29" s="354"/>
      <c r="T29" s="229"/>
      <c r="U29" s="229"/>
      <c r="V29" s="229"/>
      <c r="W29" s="229"/>
      <c r="X29" s="229"/>
      <c r="Y29" s="228"/>
      <c r="Z29" s="229"/>
      <c r="AA29" s="229"/>
      <c r="AB29" s="229"/>
      <c r="AC29" s="228"/>
      <c r="AD29" s="368"/>
      <c r="AE29" s="354"/>
      <c r="AF29" s="229"/>
      <c r="AG29" s="229"/>
      <c r="AH29" s="229"/>
      <c r="AI29" s="229"/>
      <c r="AJ29" s="229"/>
      <c r="AK29" s="228"/>
      <c r="AL29" s="229"/>
      <c r="AM29" s="229"/>
      <c r="AN29" s="229"/>
      <c r="AO29" s="228"/>
      <c r="AP29" s="229"/>
      <c r="AQ29" s="355"/>
    </row>
    <row r="30" spans="2:43" x14ac:dyDescent="0.25">
      <c r="K30" s="311" t="s">
        <v>336</v>
      </c>
      <c r="Q30" s="479"/>
      <c r="R30" s="335">
        <v>10</v>
      </c>
      <c r="S30" s="354"/>
      <c r="T30" s="229"/>
      <c r="U30" s="229"/>
      <c r="V30" s="229"/>
      <c r="W30" s="229"/>
      <c r="X30" s="229"/>
      <c r="Y30" s="228"/>
      <c r="Z30" s="229"/>
      <c r="AA30" s="229"/>
      <c r="AB30" s="229"/>
      <c r="AC30" s="228"/>
      <c r="AD30" s="368"/>
      <c r="AE30" s="354"/>
      <c r="AF30" s="229"/>
      <c r="AG30" s="229"/>
      <c r="AH30" s="229"/>
      <c r="AI30" s="229"/>
      <c r="AJ30" s="229" t="s">
        <v>300</v>
      </c>
      <c r="AK30" s="228"/>
      <c r="AL30" s="229"/>
      <c r="AM30" s="229"/>
      <c r="AN30" s="229"/>
      <c r="AO30" s="228"/>
      <c r="AP30" s="229"/>
      <c r="AQ30" s="355"/>
    </row>
    <row r="31" spans="2:43" x14ac:dyDescent="0.25">
      <c r="K31" s="310" t="s">
        <v>337</v>
      </c>
      <c r="Q31" s="479"/>
      <c r="R31" s="335">
        <v>11</v>
      </c>
      <c r="S31" s="354"/>
      <c r="T31" s="229"/>
      <c r="U31" s="229"/>
      <c r="V31" s="229"/>
      <c r="W31" s="229"/>
      <c r="X31" s="229"/>
      <c r="Y31" s="229"/>
      <c r="Z31" s="229"/>
      <c r="AA31" s="229"/>
      <c r="AB31" s="229"/>
      <c r="AC31" s="229"/>
      <c r="AD31" s="368"/>
      <c r="AE31" s="354"/>
      <c r="AF31" s="229"/>
      <c r="AG31" s="229"/>
      <c r="AH31" s="229"/>
      <c r="AI31" s="229"/>
      <c r="AJ31" s="229"/>
      <c r="AK31" s="229"/>
      <c r="AL31" s="229"/>
      <c r="AM31" s="229"/>
      <c r="AN31" s="229"/>
      <c r="AO31" s="229"/>
      <c r="AP31" s="229"/>
      <c r="AQ31" s="355"/>
    </row>
    <row r="32" spans="2:43" x14ac:dyDescent="0.25">
      <c r="K32" s="310" t="s">
        <v>338</v>
      </c>
      <c r="Q32" s="479"/>
      <c r="R32" s="335">
        <v>12</v>
      </c>
      <c r="S32" s="354"/>
      <c r="T32" s="229"/>
      <c r="U32" s="229"/>
      <c r="V32" s="229"/>
      <c r="W32" s="229"/>
      <c r="X32" s="229"/>
      <c r="Y32" s="229"/>
      <c r="Z32" s="229"/>
      <c r="AA32" s="229"/>
      <c r="AB32" s="229"/>
      <c r="AC32" s="229"/>
      <c r="AD32" s="368"/>
      <c r="AE32" s="354"/>
      <c r="AF32" s="229"/>
      <c r="AG32" s="229"/>
      <c r="AH32" s="229"/>
      <c r="AI32" s="229"/>
      <c r="AJ32" s="229"/>
      <c r="AK32" s="229"/>
      <c r="AL32" s="229"/>
      <c r="AM32" s="229"/>
      <c r="AN32" s="229"/>
      <c r="AO32" s="229"/>
      <c r="AP32" s="229"/>
      <c r="AQ32" s="355"/>
    </row>
    <row r="33" spans="1:43" x14ac:dyDescent="0.25">
      <c r="E33" s="49"/>
      <c r="K33" s="311" t="s">
        <v>339</v>
      </c>
      <c r="Q33" s="479"/>
      <c r="R33" s="335">
        <v>13</v>
      </c>
      <c r="S33" s="354"/>
      <c r="T33" s="229"/>
      <c r="U33" s="229"/>
      <c r="V33" s="229"/>
      <c r="W33" s="229"/>
      <c r="X33" s="229"/>
      <c r="Y33" s="229"/>
      <c r="Z33" s="229"/>
      <c r="AA33" s="229"/>
      <c r="AB33" s="229"/>
      <c r="AC33" s="229"/>
      <c r="AD33" s="368"/>
      <c r="AE33" s="354"/>
      <c r="AF33" s="229"/>
      <c r="AG33" s="229"/>
      <c r="AH33" s="229"/>
      <c r="AI33" s="229"/>
      <c r="AJ33" s="229"/>
      <c r="AK33" s="229"/>
      <c r="AL33" s="229"/>
      <c r="AM33" s="229"/>
      <c r="AN33" s="229"/>
      <c r="AO33" s="229"/>
      <c r="AP33" s="229"/>
      <c r="AQ33" s="355"/>
    </row>
    <row r="34" spans="1:43" x14ac:dyDescent="0.25">
      <c r="A34" s="311" t="s">
        <v>340</v>
      </c>
      <c r="K34" t="s">
        <v>762</v>
      </c>
      <c r="O34" s="104">
        <f>K35*L35*M35</f>
        <v>672</v>
      </c>
      <c r="Q34" s="479"/>
      <c r="R34" s="335"/>
      <c r="S34" s="354"/>
      <c r="T34" s="229"/>
      <c r="U34" s="229"/>
      <c r="V34" s="229"/>
      <c r="W34" s="229"/>
      <c r="X34" s="229"/>
      <c r="Y34" s="229"/>
      <c r="Z34" s="229"/>
      <c r="AA34" s="229"/>
      <c r="AB34" s="229"/>
      <c r="AC34" s="229"/>
      <c r="AD34" s="368"/>
      <c r="AE34" s="354"/>
      <c r="AF34" s="229"/>
      <c r="AG34" s="229"/>
      <c r="AH34" s="229"/>
      <c r="AI34" s="229"/>
      <c r="AJ34" s="229"/>
      <c r="AK34" s="229"/>
      <c r="AL34" s="229"/>
      <c r="AM34" s="229"/>
      <c r="AN34" s="229"/>
      <c r="AO34" s="229"/>
      <c r="AP34" s="229"/>
      <c r="AQ34" s="355"/>
    </row>
    <row r="35" spans="1:43" x14ac:dyDescent="0.25">
      <c r="K35">
        <v>9.6</v>
      </c>
      <c r="L35">
        <v>7</v>
      </c>
      <c r="M35">
        <v>10</v>
      </c>
      <c r="Q35" s="479"/>
      <c r="R35" s="335"/>
      <c r="S35" s="354"/>
      <c r="T35" s="229"/>
      <c r="U35" s="229"/>
      <c r="V35" s="229"/>
      <c r="W35" s="229"/>
      <c r="X35" s="229"/>
      <c r="Y35" s="229"/>
      <c r="Z35" s="229"/>
      <c r="AA35" s="229"/>
      <c r="AB35" s="229"/>
      <c r="AC35" s="229"/>
      <c r="AD35" s="368"/>
      <c r="AE35" s="354"/>
      <c r="AF35" s="229"/>
      <c r="AG35" s="229"/>
      <c r="AH35" s="229"/>
      <c r="AI35" s="229"/>
      <c r="AJ35" s="229"/>
      <c r="AK35" s="229"/>
      <c r="AL35" s="229"/>
      <c r="AM35" s="229"/>
      <c r="AN35" s="229"/>
      <c r="AO35" s="229"/>
      <c r="AP35" s="229"/>
      <c r="AQ35" s="355"/>
    </row>
    <row r="36" spans="1:43" x14ac:dyDescent="0.25">
      <c r="Q36" s="479"/>
      <c r="R36" s="335">
        <v>16</v>
      </c>
      <c r="S36" s="354"/>
      <c r="T36" s="229"/>
      <c r="U36" s="229"/>
      <c r="V36" s="229"/>
      <c r="W36" s="229"/>
      <c r="X36" s="229"/>
      <c r="Y36" s="229"/>
      <c r="Z36" s="229"/>
      <c r="AA36" s="229"/>
      <c r="AB36" s="228"/>
      <c r="AC36" s="229"/>
      <c r="AD36" s="368"/>
      <c r="AE36" s="354"/>
      <c r="AF36" s="229"/>
      <c r="AG36" s="229"/>
      <c r="AH36" s="229"/>
      <c r="AI36" s="229"/>
      <c r="AJ36" s="229"/>
      <c r="AK36" s="229"/>
      <c r="AL36" s="229"/>
      <c r="AM36" s="229"/>
      <c r="AN36" s="228"/>
      <c r="AO36" s="229"/>
      <c r="AP36" s="229"/>
      <c r="AQ36" s="355"/>
    </row>
    <row r="37" spans="1:43" ht="15.75" thickBot="1" x14ac:dyDescent="0.3">
      <c r="Q37" s="480"/>
      <c r="R37" s="336">
        <v>17</v>
      </c>
      <c r="S37" s="354"/>
      <c r="T37" s="229"/>
      <c r="U37" s="229"/>
      <c r="V37" s="229"/>
      <c r="W37" s="229"/>
      <c r="X37" s="229"/>
      <c r="Y37" s="229"/>
      <c r="Z37" s="229"/>
      <c r="AA37" s="229"/>
      <c r="AB37" s="229"/>
      <c r="AC37" s="229"/>
      <c r="AD37" s="368"/>
      <c r="AE37" s="354"/>
      <c r="AF37" s="229"/>
      <c r="AG37" s="229"/>
      <c r="AH37" s="229"/>
      <c r="AI37" s="229"/>
      <c r="AJ37" s="229"/>
      <c r="AK37" s="229"/>
      <c r="AL37" s="229"/>
      <c r="AM37" s="229"/>
      <c r="AN37" s="229"/>
      <c r="AO37" s="229"/>
      <c r="AP37" s="229"/>
      <c r="AQ37" s="355"/>
    </row>
    <row r="38" spans="1:43" x14ac:dyDescent="0.25">
      <c r="Q38" s="485" t="s">
        <v>251</v>
      </c>
      <c r="R38" s="337">
        <v>18</v>
      </c>
      <c r="S38" s="315"/>
      <c r="T38" s="231"/>
      <c r="U38" s="231"/>
      <c r="V38" s="231"/>
      <c r="W38" s="231"/>
      <c r="X38" s="231"/>
      <c r="Y38" s="231"/>
      <c r="Z38" s="231"/>
      <c r="AA38" s="231"/>
      <c r="AB38" s="231"/>
      <c r="AC38" s="231"/>
      <c r="AD38" s="369"/>
      <c r="AE38" s="315"/>
      <c r="AF38" s="231"/>
      <c r="AG38" s="231"/>
      <c r="AH38" s="231"/>
      <c r="AI38" s="231"/>
      <c r="AJ38" s="231"/>
      <c r="AK38" s="231"/>
      <c r="AL38" s="231"/>
      <c r="AM38" s="231"/>
      <c r="AN38" s="231"/>
      <c r="AO38" s="231"/>
      <c r="AP38" s="231"/>
      <c r="AQ38" s="356"/>
    </row>
    <row r="39" spans="1:43" x14ac:dyDescent="0.25">
      <c r="M39">
        <f>4.8*8</f>
        <v>38.4</v>
      </c>
      <c r="Q39" s="486"/>
      <c r="R39" s="338">
        <v>19</v>
      </c>
      <c r="S39" s="315"/>
      <c r="T39" s="231"/>
      <c r="U39" s="231"/>
      <c r="V39" s="231"/>
      <c r="W39" s="231"/>
      <c r="X39" s="231"/>
      <c r="Y39" s="231"/>
      <c r="Z39" s="231"/>
      <c r="AA39" s="231"/>
      <c r="AB39" s="231"/>
      <c r="AC39" s="231"/>
      <c r="AD39" s="369"/>
      <c r="AE39" s="315"/>
      <c r="AF39" s="231"/>
      <c r="AG39" s="231"/>
      <c r="AH39" s="231"/>
      <c r="AI39" s="231"/>
      <c r="AJ39" s="231"/>
      <c r="AK39" s="231"/>
      <c r="AL39" s="231"/>
      <c r="AM39" s="231"/>
      <c r="AN39" s="231"/>
      <c r="AO39" s="231"/>
      <c r="AP39" s="231"/>
      <c r="AQ39" s="356"/>
    </row>
    <row r="40" spans="1:43" x14ac:dyDescent="0.25">
      <c r="Q40" s="486"/>
      <c r="R40" s="338">
        <v>20</v>
      </c>
      <c r="S40" s="315"/>
      <c r="T40" s="231"/>
      <c r="U40" s="231"/>
      <c r="V40" s="231"/>
      <c r="W40" s="231"/>
      <c r="X40" s="231"/>
      <c r="Y40" s="231"/>
      <c r="Z40" s="231"/>
      <c r="AA40" s="231"/>
      <c r="AB40" s="231"/>
      <c r="AC40" s="231"/>
      <c r="AD40" s="369" t="s">
        <v>313</v>
      </c>
      <c r="AE40" s="315"/>
      <c r="AF40" s="231"/>
      <c r="AG40" s="231"/>
      <c r="AH40" s="231"/>
      <c r="AI40" s="231"/>
      <c r="AJ40" s="231"/>
      <c r="AK40" s="231"/>
      <c r="AL40" s="231"/>
      <c r="AM40" s="231"/>
      <c r="AN40" s="231"/>
      <c r="AO40" s="231"/>
      <c r="AP40" s="231"/>
      <c r="AQ40" s="356"/>
    </row>
    <row r="41" spans="1:43" x14ac:dyDescent="0.25">
      <c r="Q41" s="486"/>
      <c r="R41" s="338"/>
      <c r="S41" s="315"/>
      <c r="T41" s="231"/>
      <c r="U41" s="231"/>
      <c r="V41" s="231"/>
      <c r="W41" s="231"/>
      <c r="X41" s="231"/>
      <c r="Y41" s="231"/>
      <c r="Z41" s="231"/>
      <c r="AA41" s="231"/>
      <c r="AB41" s="231"/>
      <c r="AC41" s="231"/>
      <c r="AD41" s="369"/>
      <c r="AE41" s="315"/>
      <c r="AF41" s="231"/>
      <c r="AG41" s="231"/>
      <c r="AH41" s="231"/>
      <c r="AI41" s="231"/>
      <c r="AJ41" s="231"/>
      <c r="AK41" s="231"/>
      <c r="AL41" s="231"/>
      <c r="AM41" s="231"/>
      <c r="AN41" s="231"/>
      <c r="AO41" s="231"/>
      <c r="AP41" s="231"/>
      <c r="AQ41" s="356"/>
    </row>
    <row r="42" spans="1:43" x14ac:dyDescent="0.25">
      <c r="Q42" s="486"/>
      <c r="R42" s="338"/>
      <c r="S42" s="315"/>
      <c r="T42" s="231"/>
      <c r="U42" s="231"/>
      <c r="V42" s="231"/>
      <c r="W42" s="231"/>
      <c r="X42" s="231"/>
      <c r="Y42" s="231"/>
      <c r="Z42" s="231"/>
      <c r="AA42" s="231"/>
      <c r="AB42" s="231"/>
      <c r="AC42" s="231"/>
      <c r="AD42" s="369"/>
      <c r="AE42" s="315"/>
      <c r="AF42" s="231"/>
      <c r="AG42" s="231"/>
      <c r="AH42" s="231"/>
      <c r="AI42" s="231"/>
      <c r="AJ42" s="231"/>
      <c r="AK42" s="231"/>
      <c r="AL42" s="231"/>
      <c r="AM42" s="231"/>
      <c r="AN42" s="231"/>
      <c r="AO42" s="231"/>
      <c r="AP42" s="231"/>
      <c r="AQ42" s="356"/>
    </row>
    <row r="43" spans="1:43" x14ac:dyDescent="0.25">
      <c r="Q43" s="486"/>
      <c r="R43" s="338">
        <v>23</v>
      </c>
      <c r="S43" s="315"/>
      <c r="T43" s="231"/>
      <c r="U43" s="231"/>
      <c r="V43" s="231"/>
      <c r="W43" s="231"/>
      <c r="X43" s="231"/>
      <c r="Y43" s="231"/>
      <c r="Z43" s="231"/>
      <c r="AA43" s="231"/>
      <c r="AB43" s="231"/>
      <c r="AC43" s="231"/>
      <c r="AD43" s="369"/>
      <c r="AE43" s="315" t="s">
        <v>283</v>
      </c>
      <c r="AF43" s="231"/>
      <c r="AG43" s="231"/>
      <c r="AH43" s="231"/>
      <c r="AI43" s="231"/>
      <c r="AJ43" s="231"/>
      <c r="AK43" s="231"/>
      <c r="AL43" s="231"/>
      <c r="AM43" s="231"/>
      <c r="AN43" s="231"/>
      <c r="AO43" s="231"/>
      <c r="AP43" s="231"/>
      <c r="AQ43" s="356"/>
    </row>
    <row r="44" spans="1:43" x14ac:dyDescent="0.25">
      <c r="Q44" s="486"/>
      <c r="R44" s="338">
        <v>24</v>
      </c>
      <c r="S44" s="315"/>
      <c r="T44" s="230"/>
      <c r="U44" s="231"/>
      <c r="V44" s="231"/>
      <c r="W44" s="231"/>
      <c r="X44" s="231"/>
      <c r="Y44" s="231"/>
      <c r="Z44" s="231"/>
      <c r="AA44" s="231"/>
      <c r="AB44" s="231"/>
      <c r="AC44" s="231"/>
      <c r="AD44" s="369"/>
      <c r="AE44" s="315"/>
      <c r="AF44" s="230"/>
      <c r="AG44" s="231"/>
      <c r="AH44" s="231"/>
      <c r="AI44" s="231"/>
      <c r="AJ44" s="231"/>
      <c r="AK44" s="231"/>
      <c r="AL44" s="231"/>
      <c r="AM44" s="231"/>
      <c r="AN44" s="231"/>
      <c r="AO44" s="231"/>
      <c r="AP44" s="231"/>
      <c r="AQ44" s="356"/>
    </row>
    <row r="45" spans="1:43" x14ac:dyDescent="0.25">
      <c r="Q45" s="486"/>
      <c r="R45" s="338">
        <v>25</v>
      </c>
      <c r="S45" s="315"/>
      <c r="T45" s="231"/>
      <c r="U45" s="231"/>
      <c r="V45" s="231"/>
      <c r="W45" s="231"/>
      <c r="X45" s="231"/>
      <c r="Y45" s="231"/>
      <c r="Z45" s="231"/>
      <c r="AA45" s="231"/>
      <c r="AB45" s="231"/>
      <c r="AC45" s="231"/>
      <c r="AD45" s="369"/>
      <c r="AE45" s="315"/>
      <c r="AF45" s="231"/>
      <c r="AG45" s="231"/>
      <c r="AH45" s="231"/>
      <c r="AI45" s="231"/>
      <c r="AJ45" s="231" t="s">
        <v>300</v>
      </c>
      <c r="AK45" s="231"/>
      <c r="AL45" s="231"/>
      <c r="AM45" s="231"/>
      <c r="AN45" s="231"/>
      <c r="AO45" s="231"/>
      <c r="AP45" s="231"/>
      <c r="AQ45" s="356"/>
    </row>
    <row r="46" spans="1:43" x14ac:dyDescent="0.25">
      <c r="Q46" s="486"/>
      <c r="R46" s="338">
        <v>26</v>
      </c>
      <c r="S46" s="315"/>
      <c r="T46" s="231"/>
      <c r="U46" s="231"/>
      <c r="V46" s="231"/>
      <c r="W46" s="231"/>
      <c r="X46" s="231"/>
      <c r="Y46" s="231"/>
      <c r="Z46" s="231"/>
      <c r="AA46" s="231"/>
      <c r="AB46" s="231"/>
      <c r="AC46" s="231"/>
      <c r="AD46" s="369"/>
      <c r="AE46" s="315"/>
      <c r="AF46" s="231"/>
      <c r="AG46" s="231"/>
      <c r="AH46" s="231"/>
      <c r="AI46" s="231"/>
      <c r="AJ46" s="231"/>
      <c r="AK46" s="231"/>
      <c r="AL46" s="231"/>
      <c r="AM46" s="231"/>
      <c r="AN46" s="231"/>
      <c r="AO46" s="231"/>
      <c r="AP46" s="231"/>
      <c r="AQ46" s="356"/>
    </row>
    <row r="47" spans="1:43" x14ac:dyDescent="0.25">
      <c r="Q47" s="486"/>
      <c r="R47" s="338">
        <v>27</v>
      </c>
      <c r="S47" s="315"/>
      <c r="T47" s="231"/>
      <c r="U47" s="231"/>
      <c r="V47" s="231"/>
      <c r="W47" s="231"/>
      <c r="X47" s="231"/>
      <c r="Y47" s="231"/>
      <c r="Z47" s="231"/>
      <c r="AA47" s="231"/>
      <c r="AB47" s="231"/>
      <c r="AC47" s="231"/>
      <c r="AD47" s="369"/>
      <c r="AE47" s="315"/>
      <c r="AF47" s="231"/>
      <c r="AG47" s="231"/>
      <c r="AH47" s="231"/>
      <c r="AI47" s="231"/>
      <c r="AJ47" s="231"/>
      <c r="AK47" s="231"/>
      <c r="AL47" s="231"/>
      <c r="AM47" s="231"/>
      <c r="AN47" s="231"/>
      <c r="AO47" s="231"/>
      <c r="AP47" s="231"/>
      <c r="AQ47" s="356"/>
    </row>
    <row r="48" spans="1:43" x14ac:dyDescent="0.25">
      <c r="L48" s="70" t="s">
        <v>341</v>
      </c>
      <c r="M48" s="374">
        <f>'Start Here'!D4</f>
        <v>44671</v>
      </c>
      <c r="N48" s="374"/>
      <c r="O48" s="374">
        <f>'Start Here'!E4</f>
        <v>44684</v>
      </c>
      <c r="Q48" s="486"/>
      <c r="R48" s="338"/>
      <c r="S48" s="315"/>
      <c r="T48" s="231"/>
      <c r="U48" s="231"/>
      <c r="V48" s="231"/>
      <c r="W48" s="231"/>
      <c r="X48" s="231"/>
      <c r="Y48" s="231"/>
      <c r="Z48" s="231"/>
      <c r="AA48" s="231"/>
      <c r="AB48" s="231"/>
      <c r="AC48" s="231"/>
      <c r="AD48" s="369"/>
      <c r="AE48" s="315"/>
      <c r="AF48" s="231"/>
      <c r="AG48" s="231"/>
      <c r="AH48" s="231"/>
      <c r="AI48" s="231"/>
      <c r="AJ48" s="231"/>
      <c r="AK48" s="231"/>
      <c r="AL48" s="231"/>
      <c r="AM48" s="231"/>
      <c r="AN48" s="231"/>
      <c r="AO48" s="231"/>
      <c r="AP48" s="231"/>
      <c r="AQ48" s="356"/>
    </row>
    <row r="49" spans="12:43" x14ac:dyDescent="0.25">
      <c r="L49" s="70" t="s">
        <v>342</v>
      </c>
      <c r="M49" s="374">
        <f>'Start Here'!D5</f>
        <v>44685</v>
      </c>
      <c r="N49" s="374"/>
      <c r="O49" s="374">
        <f>'Start Here'!E5</f>
        <v>44698</v>
      </c>
      <c r="Q49" s="486"/>
      <c r="R49" s="338"/>
      <c r="S49" s="315"/>
      <c r="T49" s="231"/>
      <c r="U49" s="231"/>
      <c r="V49" s="231"/>
      <c r="W49" s="231"/>
      <c r="X49" s="231"/>
      <c r="Y49" s="231"/>
      <c r="Z49" s="231"/>
      <c r="AA49" s="231"/>
      <c r="AB49" s="231"/>
      <c r="AC49" s="231"/>
      <c r="AD49" s="369"/>
      <c r="AE49" s="315"/>
      <c r="AF49" s="231"/>
      <c r="AG49" s="231"/>
      <c r="AH49" s="231"/>
      <c r="AI49" s="231"/>
      <c r="AJ49" s="231"/>
      <c r="AK49" s="231"/>
      <c r="AL49" s="231"/>
      <c r="AM49" s="231"/>
      <c r="AN49" s="231"/>
      <c r="AO49" s="231"/>
      <c r="AP49" s="231"/>
      <c r="AQ49" s="356"/>
    </row>
    <row r="50" spans="12:43" x14ac:dyDescent="0.25">
      <c r="L50" s="70" t="s">
        <v>343</v>
      </c>
      <c r="M50" s="374">
        <f>'Start Here'!D6</f>
        <v>44699</v>
      </c>
      <c r="N50" s="374"/>
      <c r="O50" s="374">
        <f>'Start Here'!E6</f>
        <v>44712</v>
      </c>
      <c r="Q50" s="486"/>
      <c r="R50" s="338">
        <v>30</v>
      </c>
      <c r="S50" s="315"/>
      <c r="T50" s="231"/>
      <c r="U50" s="231"/>
      <c r="V50" s="231"/>
      <c r="W50" s="231"/>
      <c r="X50" s="231"/>
      <c r="Y50" s="231"/>
      <c r="Z50" s="231"/>
      <c r="AA50" s="231"/>
      <c r="AB50" s="231"/>
      <c r="AC50" s="231"/>
      <c r="AD50" s="369"/>
      <c r="AE50" s="315"/>
      <c r="AF50" s="231"/>
      <c r="AG50" s="231"/>
      <c r="AH50" s="231"/>
      <c r="AI50" s="231"/>
      <c r="AJ50" s="231"/>
      <c r="AK50" s="231"/>
      <c r="AL50" s="231"/>
      <c r="AM50" s="231"/>
      <c r="AN50" s="231"/>
      <c r="AO50" s="231"/>
      <c r="AP50" s="231"/>
      <c r="AQ50" s="356"/>
    </row>
    <row r="51" spans="12:43" ht="15.75" thickBot="1" x14ac:dyDescent="0.3">
      <c r="L51" s="70" t="s">
        <v>344</v>
      </c>
      <c r="M51" s="374">
        <f>'Start Here'!D7</f>
        <v>44713</v>
      </c>
      <c r="N51" s="374"/>
      <c r="O51" s="374">
        <f>'Start Here'!E7</f>
        <v>44726</v>
      </c>
      <c r="Q51" s="487"/>
      <c r="R51" s="339">
        <v>31</v>
      </c>
      <c r="S51" s="315"/>
      <c r="T51" s="231"/>
      <c r="U51" s="231"/>
      <c r="V51" s="231" t="s">
        <v>212</v>
      </c>
      <c r="W51" s="231"/>
      <c r="X51" s="231" t="s">
        <v>296</v>
      </c>
      <c r="Y51" s="231" t="s">
        <v>308</v>
      </c>
      <c r="Z51" s="231"/>
      <c r="AA51" s="231" t="s">
        <v>310</v>
      </c>
      <c r="AB51" s="231" t="s">
        <v>311</v>
      </c>
      <c r="AC51" s="231"/>
      <c r="AD51" s="369"/>
      <c r="AE51" s="315"/>
      <c r="AF51" s="231" t="s">
        <v>288</v>
      </c>
      <c r="AG51" s="231"/>
      <c r="AH51" s="231"/>
      <c r="AI51" s="231"/>
      <c r="AJ51" s="231"/>
      <c r="AK51" s="231"/>
      <c r="AL51" s="231"/>
      <c r="AM51" s="231"/>
      <c r="AN51" s="231"/>
      <c r="AO51" s="231"/>
      <c r="AP51" s="231" t="s">
        <v>310</v>
      </c>
      <c r="AQ51" s="356" t="s">
        <v>212</v>
      </c>
    </row>
    <row r="52" spans="12:43" x14ac:dyDescent="0.25">
      <c r="L52" s="70" t="s">
        <v>345</v>
      </c>
      <c r="M52" s="374">
        <f>'Start Here'!D8</f>
        <v>44727</v>
      </c>
      <c r="N52" s="374"/>
      <c r="O52" s="374">
        <f>'Start Here'!E8</f>
        <v>44740</v>
      </c>
      <c r="Q52" s="475" t="s">
        <v>664</v>
      </c>
      <c r="R52" s="340">
        <v>1</v>
      </c>
      <c r="S52" s="357"/>
      <c r="T52" s="233"/>
      <c r="U52" s="233"/>
      <c r="V52" s="233"/>
      <c r="W52" s="233"/>
      <c r="X52" s="233"/>
      <c r="Y52" s="233" t="s">
        <v>308</v>
      </c>
      <c r="Z52" s="233"/>
      <c r="AA52" s="233"/>
      <c r="AB52" s="233"/>
      <c r="AC52" s="233"/>
      <c r="AD52" s="370"/>
      <c r="AE52" s="357"/>
      <c r="AF52" s="233"/>
      <c r="AG52" s="233"/>
      <c r="AH52" s="233"/>
      <c r="AI52" s="233"/>
      <c r="AJ52" s="233"/>
      <c r="AK52" s="233"/>
      <c r="AL52" s="233"/>
      <c r="AM52" s="233"/>
      <c r="AN52" s="233"/>
      <c r="AO52" s="233"/>
      <c r="AP52" s="233"/>
      <c r="AQ52" s="358"/>
    </row>
    <row r="53" spans="12:43" x14ac:dyDescent="0.25">
      <c r="L53" s="70" t="s">
        <v>346</v>
      </c>
      <c r="M53" s="374">
        <f>'Start Here'!D9</f>
        <v>44741</v>
      </c>
      <c r="N53" s="374"/>
      <c r="O53" s="374">
        <f>'Start Here'!E9</f>
        <v>44754</v>
      </c>
      <c r="Q53" s="476"/>
      <c r="R53" s="341">
        <v>2</v>
      </c>
      <c r="S53" s="357"/>
      <c r="T53" s="233"/>
      <c r="U53" s="233"/>
      <c r="V53" s="233"/>
      <c r="W53" s="233"/>
      <c r="X53" s="233"/>
      <c r="Y53" s="233" t="s">
        <v>308</v>
      </c>
      <c r="Z53" s="233"/>
      <c r="AA53" s="233"/>
      <c r="AB53" s="233"/>
      <c r="AC53" s="233"/>
      <c r="AD53" s="370"/>
      <c r="AE53" s="357"/>
      <c r="AF53" s="233"/>
      <c r="AG53" s="233"/>
      <c r="AH53" s="233"/>
      <c r="AI53" s="233"/>
      <c r="AJ53" s="233"/>
      <c r="AK53" s="233"/>
      <c r="AL53" s="233"/>
      <c r="AM53" s="233"/>
      <c r="AN53" s="233"/>
      <c r="AO53" s="233"/>
      <c r="AP53" s="233"/>
      <c r="AQ53" s="358"/>
    </row>
    <row r="54" spans="12:43" x14ac:dyDescent="0.25">
      <c r="Q54" s="476"/>
      <c r="R54" s="341">
        <v>3</v>
      </c>
      <c r="S54" s="357"/>
      <c r="T54" s="233"/>
      <c r="U54" s="233"/>
      <c r="V54" s="233"/>
      <c r="W54" s="233"/>
      <c r="X54" s="233"/>
      <c r="Y54" s="233" t="s">
        <v>308</v>
      </c>
      <c r="Z54" s="233"/>
      <c r="AA54" s="233"/>
      <c r="AB54" s="233"/>
      <c r="AC54" s="233"/>
      <c r="AD54" s="370"/>
      <c r="AE54" s="357"/>
      <c r="AF54" s="233"/>
      <c r="AG54" s="233"/>
      <c r="AH54" s="233"/>
      <c r="AI54" s="233"/>
      <c r="AJ54" s="233"/>
      <c r="AK54" s="233"/>
      <c r="AL54" s="233"/>
      <c r="AM54" s="233"/>
      <c r="AN54" s="233"/>
      <c r="AO54" s="233"/>
      <c r="AP54" s="233"/>
      <c r="AQ54" s="358"/>
    </row>
    <row r="55" spans="12:43" x14ac:dyDescent="0.25">
      <c r="Q55" s="476"/>
      <c r="R55" s="341"/>
      <c r="S55" s="357"/>
      <c r="T55" s="233"/>
      <c r="U55" s="233"/>
      <c r="V55" s="233"/>
      <c r="W55" s="233"/>
      <c r="X55" s="233"/>
      <c r="Y55" s="233"/>
      <c r="Z55" s="233"/>
      <c r="AA55" s="233"/>
      <c r="AB55" s="233"/>
      <c r="AC55" s="233"/>
      <c r="AD55" s="370"/>
      <c r="AE55" s="357"/>
      <c r="AF55" s="233"/>
      <c r="AG55" s="233"/>
      <c r="AH55" s="233"/>
      <c r="AI55" s="233"/>
      <c r="AJ55" s="233"/>
      <c r="AK55" s="233"/>
      <c r="AL55" s="233"/>
      <c r="AM55" s="233"/>
      <c r="AN55" s="233"/>
      <c r="AO55" s="233"/>
      <c r="AP55" s="233"/>
      <c r="AQ55" s="358"/>
    </row>
    <row r="56" spans="12:43" x14ac:dyDescent="0.25">
      <c r="Q56" s="476"/>
      <c r="R56" s="341"/>
      <c r="S56" s="357"/>
      <c r="T56" s="233"/>
      <c r="U56" s="233"/>
      <c r="V56" s="233"/>
      <c r="W56" s="233"/>
      <c r="X56" s="233"/>
      <c r="Y56" s="233"/>
      <c r="Z56" s="233"/>
      <c r="AA56" s="233"/>
      <c r="AB56" s="233"/>
      <c r="AC56" s="233"/>
      <c r="AD56" s="370"/>
      <c r="AE56" s="357"/>
      <c r="AF56" s="233"/>
      <c r="AG56" s="233"/>
      <c r="AH56" s="233"/>
      <c r="AI56" s="233"/>
      <c r="AJ56" s="233"/>
      <c r="AK56" s="233"/>
      <c r="AL56" s="233"/>
      <c r="AM56" s="233"/>
      <c r="AN56" s="233"/>
      <c r="AO56" s="233"/>
      <c r="AP56" s="233"/>
      <c r="AQ56" s="358"/>
    </row>
    <row r="57" spans="12:43" x14ac:dyDescent="0.25">
      <c r="Q57" s="476"/>
      <c r="R57" s="341">
        <v>6</v>
      </c>
      <c r="S57" s="357"/>
      <c r="T57" s="233"/>
      <c r="U57" s="233"/>
      <c r="V57" s="233"/>
      <c r="W57" s="233"/>
      <c r="X57" s="233"/>
      <c r="Y57" s="233"/>
      <c r="Z57" s="233"/>
      <c r="AA57" s="233"/>
      <c r="AB57" s="233"/>
      <c r="AC57" s="233"/>
      <c r="AD57" s="370"/>
      <c r="AE57" s="357"/>
      <c r="AF57" s="233"/>
      <c r="AG57" s="233"/>
      <c r="AH57" s="233"/>
      <c r="AI57" s="233"/>
      <c r="AJ57" s="233"/>
      <c r="AK57" s="233"/>
      <c r="AL57" s="233"/>
      <c r="AM57" s="233"/>
      <c r="AN57" s="233"/>
      <c r="AO57" s="233"/>
      <c r="AP57" s="233"/>
      <c r="AQ57" s="358"/>
    </row>
    <row r="58" spans="12:43" x14ac:dyDescent="0.25">
      <c r="Q58" s="476"/>
      <c r="R58" s="341">
        <v>7</v>
      </c>
      <c r="S58" s="357"/>
      <c r="T58" s="233"/>
      <c r="U58" s="233"/>
      <c r="V58" s="233"/>
      <c r="W58" s="233"/>
      <c r="X58" s="233"/>
      <c r="Y58" s="233"/>
      <c r="Z58" s="233"/>
      <c r="AA58" s="233"/>
      <c r="AB58" s="233"/>
      <c r="AC58" s="233"/>
      <c r="AD58" s="370"/>
      <c r="AE58" s="357"/>
      <c r="AF58" s="233"/>
      <c r="AG58" s="233"/>
      <c r="AH58" s="233"/>
      <c r="AI58" s="233"/>
      <c r="AJ58" s="233"/>
      <c r="AK58" s="233"/>
      <c r="AL58" s="233"/>
      <c r="AM58" s="233"/>
      <c r="AN58" s="233"/>
      <c r="AO58" s="233"/>
      <c r="AP58" s="233"/>
      <c r="AQ58" s="358"/>
    </row>
    <row r="59" spans="12:43" x14ac:dyDescent="0.25">
      <c r="Q59" s="476"/>
      <c r="R59" s="341">
        <v>8</v>
      </c>
      <c r="S59" s="357"/>
      <c r="T59" s="233"/>
      <c r="U59" s="233"/>
      <c r="V59" s="233"/>
      <c r="W59" s="233"/>
      <c r="X59" s="233"/>
      <c r="Y59" s="233"/>
      <c r="Z59" s="233"/>
      <c r="AA59" s="233"/>
      <c r="AB59" s="233"/>
      <c r="AC59" s="233"/>
      <c r="AD59" s="370" t="s">
        <v>313</v>
      </c>
      <c r="AE59" s="357"/>
      <c r="AF59" s="233"/>
      <c r="AG59" s="233"/>
      <c r="AH59" s="233"/>
      <c r="AI59" s="233"/>
      <c r="AJ59" s="233"/>
      <c r="AK59" s="233"/>
      <c r="AL59" s="233"/>
      <c r="AM59" s="233"/>
      <c r="AN59" s="233"/>
      <c r="AO59" s="233"/>
      <c r="AP59" s="233"/>
      <c r="AQ59" s="358"/>
    </row>
    <row r="60" spans="12:43" x14ac:dyDescent="0.25">
      <c r="Q60" s="476"/>
      <c r="R60" s="341">
        <v>9</v>
      </c>
      <c r="S60" s="357"/>
      <c r="T60" s="233"/>
      <c r="U60" s="233" t="s">
        <v>306</v>
      </c>
      <c r="V60" s="233"/>
      <c r="W60" s="233"/>
      <c r="X60" s="233"/>
      <c r="Y60" s="232"/>
      <c r="Z60" s="233"/>
      <c r="AA60" s="233"/>
      <c r="AB60" s="233"/>
      <c r="AC60" s="233"/>
      <c r="AD60" s="370" t="s">
        <v>313</v>
      </c>
      <c r="AE60" s="357"/>
      <c r="AF60" s="233"/>
      <c r="AG60" s="233"/>
      <c r="AH60" s="233"/>
      <c r="AI60" s="233"/>
      <c r="AJ60" s="233"/>
      <c r="AK60" s="232"/>
      <c r="AL60" s="233"/>
      <c r="AM60" s="233"/>
      <c r="AN60" s="233"/>
      <c r="AO60" s="233"/>
      <c r="AP60" s="233"/>
      <c r="AQ60" s="358"/>
    </row>
    <row r="61" spans="12:43" x14ac:dyDescent="0.25">
      <c r="Q61" s="476"/>
      <c r="R61" s="341">
        <v>10</v>
      </c>
      <c r="S61" s="357"/>
      <c r="T61" s="233"/>
      <c r="U61" s="233" t="s">
        <v>306</v>
      </c>
      <c r="V61" s="233"/>
      <c r="W61" s="233"/>
      <c r="X61" s="233"/>
      <c r="Y61" s="233"/>
      <c r="Z61" s="233"/>
      <c r="AA61" s="233"/>
      <c r="AB61" s="233"/>
      <c r="AC61" s="232"/>
      <c r="AD61" s="370" t="s">
        <v>313</v>
      </c>
      <c r="AE61" s="357"/>
      <c r="AF61" s="233"/>
      <c r="AG61" s="233"/>
      <c r="AH61" s="233"/>
      <c r="AI61" s="233"/>
      <c r="AJ61" s="233"/>
      <c r="AK61" s="233"/>
      <c r="AL61" s="233"/>
      <c r="AM61" s="233"/>
      <c r="AN61" s="233"/>
      <c r="AO61" s="232"/>
      <c r="AP61" s="233"/>
      <c r="AQ61" s="358"/>
    </row>
    <row r="62" spans="12:43" x14ac:dyDescent="0.25">
      <c r="Q62" s="476"/>
      <c r="R62" s="341"/>
      <c r="S62" s="357"/>
      <c r="T62" s="233"/>
      <c r="U62" s="233"/>
      <c r="V62" s="233"/>
      <c r="W62" s="233"/>
      <c r="X62" s="233"/>
      <c r="Y62" s="233"/>
      <c r="Z62" s="233"/>
      <c r="AA62" s="233"/>
      <c r="AB62" s="233"/>
      <c r="AC62" s="233"/>
      <c r="AD62" s="370"/>
      <c r="AE62" s="357"/>
      <c r="AF62" s="233"/>
      <c r="AG62" s="233"/>
      <c r="AH62" s="233"/>
      <c r="AI62" s="233"/>
      <c r="AJ62" s="233"/>
      <c r="AK62" s="233"/>
      <c r="AL62" s="233"/>
      <c r="AM62" s="233"/>
      <c r="AN62" s="233"/>
      <c r="AO62" s="233"/>
      <c r="AP62" s="233"/>
      <c r="AQ62" s="358"/>
    </row>
    <row r="63" spans="12:43" x14ac:dyDescent="0.25">
      <c r="Q63" s="476"/>
      <c r="R63" s="341"/>
      <c r="S63" s="357"/>
      <c r="T63" s="233"/>
      <c r="U63" s="233"/>
      <c r="V63" s="233"/>
      <c r="W63" s="233"/>
      <c r="X63" s="233"/>
      <c r="Y63" s="233"/>
      <c r="Z63" s="233"/>
      <c r="AA63" s="233"/>
      <c r="AB63" s="233"/>
      <c r="AC63" s="233"/>
      <c r="AD63" s="370"/>
      <c r="AE63" s="357"/>
      <c r="AF63" s="233"/>
      <c r="AG63" s="233"/>
      <c r="AH63" s="233"/>
      <c r="AI63" s="233"/>
      <c r="AJ63" s="233"/>
      <c r="AK63" s="233"/>
      <c r="AL63" s="233"/>
      <c r="AM63" s="233"/>
      <c r="AN63" s="233"/>
      <c r="AO63" s="233"/>
      <c r="AP63" s="233"/>
      <c r="AQ63" s="358"/>
    </row>
    <row r="64" spans="12:43" x14ac:dyDescent="0.25">
      <c r="Q64" s="476"/>
      <c r="R64" s="341">
        <v>13</v>
      </c>
      <c r="S64" s="357"/>
      <c r="T64" s="233"/>
      <c r="U64" s="233"/>
      <c r="V64" s="233"/>
      <c r="W64" s="233"/>
      <c r="X64" s="233"/>
      <c r="Y64" s="232"/>
      <c r="Z64" s="233"/>
      <c r="AA64" s="233"/>
      <c r="AB64" s="233"/>
      <c r="AC64" s="233"/>
      <c r="AD64" s="370"/>
      <c r="AE64" s="357"/>
      <c r="AF64" s="233"/>
      <c r="AG64" s="233"/>
      <c r="AH64" s="233"/>
      <c r="AI64" s="233"/>
      <c r="AJ64" s="233"/>
      <c r="AK64" s="232"/>
      <c r="AL64" s="233"/>
      <c r="AM64" s="233"/>
      <c r="AN64" s="233"/>
      <c r="AO64" s="233"/>
      <c r="AP64" s="233"/>
      <c r="AQ64" s="358"/>
    </row>
    <row r="65" spans="17:43" ht="15.75" thickBot="1" x14ac:dyDescent="0.3">
      <c r="Q65" s="477"/>
      <c r="R65" s="342">
        <v>14</v>
      </c>
      <c r="S65" s="357"/>
      <c r="T65" s="233"/>
      <c r="U65" s="233"/>
      <c r="V65" s="233"/>
      <c r="W65" s="233"/>
      <c r="X65" s="233"/>
      <c r="Y65" s="233"/>
      <c r="Z65" s="233"/>
      <c r="AA65" s="233"/>
      <c r="AB65" s="233"/>
      <c r="AC65" s="233"/>
      <c r="AD65" s="370"/>
      <c r="AE65" s="357"/>
      <c r="AF65" s="233"/>
      <c r="AG65" s="233"/>
      <c r="AH65" s="233"/>
      <c r="AI65" s="233"/>
      <c r="AJ65" s="233"/>
      <c r="AK65" s="233"/>
      <c r="AL65" s="233"/>
      <c r="AM65" s="233"/>
      <c r="AN65" s="233"/>
      <c r="AO65" s="233"/>
      <c r="AP65" s="233"/>
      <c r="AQ65" s="358"/>
    </row>
    <row r="66" spans="17:43" x14ac:dyDescent="0.25">
      <c r="Q66" s="488" t="s">
        <v>664</v>
      </c>
      <c r="R66" s="343">
        <v>15</v>
      </c>
      <c r="S66" s="359"/>
      <c r="T66" s="234"/>
      <c r="U66" s="234"/>
      <c r="V66" s="234"/>
      <c r="W66" s="234"/>
      <c r="X66" s="234"/>
      <c r="Y66" s="234"/>
      <c r="Z66" s="234"/>
      <c r="AA66" s="234"/>
      <c r="AB66" s="234"/>
      <c r="AC66" s="234"/>
      <c r="AD66" s="371"/>
      <c r="AE66" s="359"/>
      <c r="AF66" s="234"/>
      <c r="AG66" s="234"/>
      <c r="AH66" s="234"/>
      <c r="AI66" s="234"/>
      <c r="AJ66" s="234"/>
      <c r="AK66" s="234"/>
      <c r="AL66" s="234"/>
      <c r="AM66" s="234"/>
      <c r="AN66" s="234"/>
      <c r="AO66" s="234"/>
      <c r="AP66" s="234"/>
      <c r="AQ66" s="360"/>
    </row>
    <row r="67" spans="17:43" x14ac:dyDescent="0.25">
      <c r="Q67" s="489"/>
      <c r="R67" s="344">
        <v>16</v>
      </c>
      <c r="S67" s="359"/>
      <c r="T67" s="234"/>
      <c r="U67" s="234"/>
      <c r="V67" s="234"/>
      <c r="W67" s="234"/>
      <c r="X67" s="234"/>
      <c r="Y67" s="234"/>
      <c r="Z67" s="234"/>
      <c r="AA67" s="234"/>
      <c r="AB67" s="234"/>
      <c r="AC67" s="234"/>
      <c r="AD67" s="371"/>
      <c r="AE67" s="359"/>
      <c r="AF67" s="234"/>
      <c r="AG67" s="234"/>
      <c r="AH67" s="234"/>
      <c r="AI67" s="234"/>
      <c r="AJ67" s="234"/>
      <c r="AK67" s="234"/>
      <c r="AL67" s="234"/>
      <c r="AM67" s="234"/>
      <c r="AN67" s="234"/>
      <c r="AO67" s="234"/>
      <c r="AP67" s="234"/>
      <c r="AQ67" s="360"/>
    </row>
    <row r="68" spans="17:43" x14ac:dyDescent="0.25">
      <c r="Q68" s="489"/>
      <c r="R68" s="344">
        <v>17</v>
      </c>
      <c r="S68" s="359"/>
      <c r="T68" s="234"/>
      <c r="U68" s="234"/>
      <c r="V68" s="234"/>
      <c r="W68" s="234"/>
      <c r="X68" s="234"/>
      <c r="Y68" s="234"/>
      <c r="Z68" s="234"/>
      <c r="AA68" s="234"/>
      <c r="AB68" s="234"/>
      <c r="AC68" s="234"/>
      <c r="AD68" s="371"/>
      <c r="AE68" s="359"/>
      <c r="AF68" s="234"/>
      <c r="AG68" s="234"/>
      <c r="AH68" s="234"/>
      <c r="AI68" s="234"/>
      <c r="AJ68" s="234"/>
      <c r="AK68" s="234"/>
      <c r="AL68" s="234"/>
      <c r="AM68" s="234"/>
      <c r="AN68" s="234"/>
      <c r="AO68" s="234"/>
      <c r="AP68" s="234"/>
      <c r="AQ68" s="360"/>
    </row>
    <row r="69" spans="17:43" x14ac:dyDescent="0.25">
      <c r="Q69" s="489"/>
      <c r="R69" s="344"/>
      <c r="S69" s="359"/>
      <c r="T69" s="234"/>
      <c r="U69" s="234"/>
      <c r="V69" s="234"/>
      <c r="W69" s="234"/>
      <c r="X69" s="234"/>
      <c r="Y69" s="234"/>
      <c r="Z69" s="234"/>
      <c r="AA69" s="234"/>
      <c r="AB69" s="234"/>
      <c r="AC69" s="234"/>
      <c r="AD69" s="371"/>
      <c r="AE69" s="359"/>
      <c r="AF69" s="234"/>
      <c r="AG69" s="234"/>
      <c r="AH69" s="234"/>
      <c r="AI69" s="234"/>
      <c r="AJ69" s="234"/>
      <c r="AK69" s="234"/>
      <c r="AL69" s="234"/>
      <c r="AM69" s="234"/>
      <c r="AN69" s="234"/>
      <c r="AO69" s="234"/>
      <c r="AP69" s="234"/>
      <c r="AQ69" s="360"/>
    </row>
    <row r="70" spans="17:43" x14ac:dyDescent="0.25">
      <c r="Q70" s="489"/>
      <c r="R70" s="344"/>
      <c r="S70" s="359"/>
      <c r="T70" s="234"/>
      <c r="U70" s="234"/>
      <c r="V70" s="234"/>
      <c r="W70" s="234"/>
      <c r="X70" s="234"/>
      <c r="Y70" s="234"/>
      <c r="Z70" s="234"/>
      <c r="AA70" s="234"/>
      <c r="AB70" s="234"/>
      <c r="AC70" s="234"/>
      <c r="AD70" s="371"/>
      <c r="AE70" s="359"/>
      <c r="AF70" s="234"/>
      <c r="AG70" s="234"/>
      <c r="AH70" s="234"/>
      <c r="AI70" s="234"/>
      <c r="AJ70" s="234"/>
      <c r="AK70" s="234"/>
      <c r="AL70" s="234"/>
      <c r="AM70" s="234"/>
      <c r="AN70" s="234"/>
      <c r="AO70" s="234"/>
      <c r="AP70" s="234"/>
      <c r="AQ70" s="360"/>
    </row>
    <row r="71" spans="17:43" x14ac:dyDescent="0.25">
      <c r="Q71" s="489"/>
      <c r="R71" s="344">
        <v>20</v>
      </c>
      <c r="S71" s="359"/>
      <c r="T71" s="234"/>
      <c r="U71" s="234"/>
      <c r="V71" s="234"/>
      <c r="W71" s="234"/>
      <c r="X71" s="234"/>
      <c r="Y71" s="234"/>
      <c r="Z71" s="234"/>
      <c r="AA71" s="234"/>
      <c r="AB71" s="234"/>
      <c r="AC71" s="234"/>
      <c r="AD71" s="371"/>
      <c r="AE71" s="359"/>
      <c r="AF71" s="234"/>
      <c r="AG71" s="234"/>
      <c r="AH71" s="234"/>
      <c r="AI71" s="234"/>
      <c r="AJ71" s="234"/>
      <c r="AK71" s="234"/>
      <c r="AL71" s="234"/>
      <c r="AM71" s="234"/>
      <c r="AN71" s="234"/>
      <c r="AO71" s="234"/>
      <c r="AP71" s="234"/>
      <c r="AQ71" s="360"/>
    </row>
    <row r="72" spans="17:43" x14ac:dyDescent="0.25">
      <c r="Q72" s="489"/>
      <c r="R72" s="344">
        <v>21</v>
      </c>
      <c r="S72" s="359"/>
      <c r="T72" s="234"/>
      <c r="U72" s="234"/>
      <c r="V72" s="234" t="s">
        <v>212</v>
      </c>
      <c r="W72" s="234"/>
      <c r="X72" s="234"/>
      <c r="Y72" s="234"/>
      <c r="Z72" s="234"/>
      <c r="AA72" s="234"/>
      <c r="AB72" s="234"/>
      <c r="AC72" s="234"/>
      <c r="AD72" s="371"/>
      <c r="AE72" s="359"/>
      <c r="AF72" s="234"/>
      <c r="AG72" s="234"/>
      <c r="AH72" s="234"/>
      <c r="AI72" s="234"/>
      <c r="AJ72" s="234"/>
      <c r="AK72" s="234"/>
      <c r="AL72" s="234"/>
      <c r="AM72" s="234"/>
      <c r="AN72" s="234"/>
      <c r="AO72" s="234"/>
      <c r="AP72" s="234"/>
      <c r="AQ72" s="360" t="s">
        <v>212</v>
      </c>
    </row>
    <row r="73" spans="17:43" x14ac:dyDescent="0.25">
      <c r="Q73" s="489"/>
      <c r="R73" s="344">
        <v>22</v>
      </c>
      <c r="S73" s="359"/>
      <c r="T73" s="234"/>
      <c r="U73" s="234"/>
      <c r="V73" s="234" t="s">
        <v>212</v>
      </c>
      <c r="W73" s="234"/>
      <c r="X73" s="234"/>
      <c r="Y73" s="234"/>
      <c r="Z73" s="234"/>
      <c r="AA73" s="234"/>
      <c r="AB73" s="234"/>
      <c r="AC73" s="234"/>
      <c r="AD73" s="371"/>
      <c r="AE73" s="359"/>
      <c r="AF73" s="234"/>
      <c r="AG73" s="234"/>
      <c r="AH73" s="234"/>
      <c r="AI73" s="234"/>
      <c r="AJ73" s="234"/>
      <c r="AK73" s="234"/>
      <c r="AL73" s="234"/>
      <c r="AM73" s="234"/>
      <c r="AN73" s="234"/>
      <c r="AO73" s="234"/>
      <c r="AP73" s="234"/>
      <c r="AQ73" s="360" t="s">
        <v>212</v>
      </c>
    </row>
    <row r="74" spans="17:43" x14ac:dyDescent="0.25">
      <c r="Q74" s="489"/>
      <c r="R74" s="344">
        <v>23</v>
      </c>
      <c r="S74" s="359"/>
      <c r="T74" s="234"/>
      <c r="U74" s="234"/>
      <c r="V74" s="234" t="s">
        <v>212</v>
      </c>
      <c r="W74" s="234"/>
      <c r="X74" s="234"/>
      <c r="Y74" s="234"/>
      <c r="Z74" s="234"/>
      <c r="AA74" s="234"/>
      <c r="AB74" s="234"/>
      <c r="AC74" s="234"/>
      <c r="AD74" s="371"/>
      <c r="AE74" s="359"/>
      <c r="AF74" s="234"/>
      <c r="AG74" s="234"/>
      <c r="AH74" s="234"/>
      <c r="AI74" s="234"/>
      <c r="AJ74" s="234"/>
      <c r="AK74" s="234"/>
      <c r="AL74" s="234"/>
      <c r="AM74" s="234"/>
      <c r="AN74" s="234"/>
      <c r="AO74" s="234"/>
      <c r="AP74" s="234"/>
      <c r="AQ74" s="360" t="s">
        <v>212</v>
      </c>
    </row>
    <row r="75" spans="17:43" x14ac:dyDescent="0.25">
      <c r="Q75" s="489"/>
      <c r="R75" s="344">
        <v>24</v>
      </c>
      <c r="S75" s="359"/>
      <c r="T75" s="234"/>
      <c r="U75" s="234"/>
      <c r="V75" s="234"/>
      <c r="W75" s="234"/>
      <c r="X75" s="234"/>
      <c r="Y75" s="234"/>
      <c r="Z75" s="234"/>
      <c r="AA75" s="234"/>
      <c r="AB75" s="234"/>
      <c r="AC75" s="234"/>
      <c r="AD75" s="371"/>
      <c r="AE75" s="359"/>
      <c r="AF75" s="234"/>
      <c r="AG75" s="234"/>
      <c r="AH75" s="234"/>
      <c r="AI75" s="234"/>
      <c r="AJ75" s="234"/>
      <c r="AK75" s="234"/>
      <c r="AL75" s="234"/>
      <c r="AM75" s="234"/>
      <c r="AN75" s="234"/>
      <c r="AO75" s="234"/>
      <c r="AP75" s="234"/>
      <c r="AQ75" s="360"/>
    </row>
    <row r="76" spans="17:43" x14ac:dyDescent="0.25">
      <c r="Q76" s="489"/>
      <c r="R76" s="344"/>
      <c r="S76" s="359"/>
      <c r="T76" s="234"/>
      <c r="U76" s="234"/>
      <c r="V76" s="234"/>
      <c r="W76" s="234"/>
      <c r="X76" s="234"/>
      <c r="Y76" s="234"/>
      <c r="Z76" s="234"/>
      <c r="AA76" s="234"/>
      <c r="AB76" s="234"/>
      <c r="AC76" s="234"/>
      <c r="AD76" s="371"/>
      <c r="AE76" s="359"/>
      <c r="AF76" s="234"/>
      <c r="AG76" s="234"/>
      <c r="AH76" s="234"/>
      <c r="AI76" s="234"/>
      <c r="AJ76" s="234"/>
      <c r="AK76" s="234"/>
      <c r="AL76" s="234"/>
      <c r="AM76" s="234"/>
      <c r="AN76" s="234"/>
      <c r="AO76" s="234"/>
      <c r="AP76" s="234"/>
      <c r="AQ76" s="360"/>
    </row>
    <row r="77" spans="17:43" x14ac:dyDescent="0.25">
      <c r="Q77" s="489"/>
      <c r="R77" s="344"/>
      <c r="S77" s="359"/>
      <c r="T77" s="234"/>
      <c r="U77" s="234"/>
      <c r="V77" s="234"/>
      <c r="W77" s="234"/>
      <c r="X77" s="234"/>
      <c r="Y77" s="234"/>
      <c r="Z77" s="234"/>
      <c r="AA77" s="234"/>
      <c r="AB77" s="234"/>
      <c r="AC77" s="234"/>
      <c r="AD77" s="371"/>
      <c r="AE77" s="359"/>
      <c r="AF77" s="234"/>
      <c r="AG77" s="234"/>
      <c r="AH77" s="234"/>
      <c r="AI77" s="234"/>
      <c r="AJ77" s="234"/>
      <c r="AK77" s="234"/>
      <c r="AL77" s="234"/>
      <c r="AM77" s="234"/>
      <c r="AN77" s="234"/>
      <c r="AO77" s="234"/>
      <c r="AP77" s="234"/>
      <c r="AQ77" s="360"/>
    </row>
    <row r="78" spans="17:43" x14ac:dyDescent="0.25">
      <c r="Q78" s="489"/>
      <c r="R78" s="344">
        <v>27</v>
      </c>
      <c r="S78" s="359"/>
      <c r="T78" s="234"/>
      <c r="U78" s="234"/>
      <c r="V78" s="234"/>
      <c r="W78" s="234"/>
      <c r="X78" s="234"/>
      <c r="Y78" s="234"/>
      <c r="Z78" s="234"/>
      <c r="AA78" s="234"/>
      <c r="AB78" s="234"/>
      <c r="AC78" s="234"/>
      <c r="AD78" s="371"/>
      <c r="AE78" s="359"/>
      <c r="AF78" s="234"/>
      <c r="AG78" s="234"/>
      <c r="AH78" s="234"/>
      <c r="AI78" s="234"/>
      <c r="AJ78" s="234"/>
      <c r="AK78" s="234"/>
      <c r="AL78" s="234"/>
      <c r="AM78" s="234"/>
      <c r="AN78" s="234"/>
      <c r="AO78" s="234"/>
      <c r="AP78" s="234"/>
      <c r="AQ78" s="360"/>
    </row>
    <row r="79" spans="17:43" ht="15.75" thickBot="1" x14ac:dyDescent="0.3">
      <c r="Q79" s="490"/>
      <c r="R79" s="345">
        <v>28</v>
      </c>
      <c r="S79" s="359"/>
      <c r="T79" s="234"/>
      <c r="U79" s="234"/>
      <c r="V79" s="234"/>
      <c r="W79" s="234"/>
      <c r="X79" s="234"/>
      <c r="Y79" s="234"/>
      <c r="Z79" s="234"/>
      <c r="AA79" s="234"/>
      <c r="AB79" s="234"/>
      <c r="AC79" s="234"/>
      <c r="AD79" s="371"/>
      <c r="AE79" s="359"/>
      <c r="AF79" s="234"/>
      <c r="AG79" s="234"/>
      <c r="AH79" s="234"/>
      <c r="AI79" s="234"/>
      <c r="AJ79" s="234"/>
      <c r="AK79" s="234"/>
      <c r="AL79" s="234"/>
      <c r="AM79" s="234"/>
      <c r="AN79" s="234"/>
      <c r="AO79" s="234"/>
      <c r="AP79" s="234"/>
      <c r="AQ79" s="360"/>
    </row>
    <row r="80" spans="17:43" x14ac:dyDescent="0.25">
      <c r="Q80" s="491" t="s">
        <v>664</v>
      </c>
      <c r="R80" s="346">
        <v>29</v>
      </c>
      <c r="S80" s="361"/>
      <c r="T80" s="236"/>
      <c r="U80" s="236"/>
      <c r="V80" s="236"/>
      <c r="W80" s="236"/>
      <c r="X80" s="236"/>
      <c r="Y80" s="236"/>
      <c r="Z80" s="236"/>
      <c r="AA80" s="236"/>
      <c r="AB80" s="236"/>
      <c r="AC80" s="235"/>
      <c r="AD80" s="372"/>
      <c r="AE80" s="361"/>
      <c r="AF80" s="236"/>
      <c r="AG80" s="236"/>
      <c r="AH80" s="236"/>
      <c r="AI80" s="236"/>
      <c r="AJ80" s="236"/>
      <c r="AK80" s="236"/>
      <c r="AL80" s="236"/>
      <c r="AM80" s="236"/>
      <c r="AN80" s="236"/>
      <c r="AO80" s="235"/>
      <c r="AP80" s="236"/>
      <c r="AQ80" s="362"/>
    </row>
    <row r="81" spans="17:43" ht="15.75" thickBot="1" x14ac:dyDescent="0.3">
      <c r="Q81" s="491"/>
      <c r="R81" s="347">
        <v>30</v>
      </c>
      <c r="S81" s="361"/>
      <c r="T81" s="236"/>
      <c r="U81" s="236"/>
      <c r="V81" s="236"/>
      <c r="W81" s="236"/>
      <c r="X81" s="236"/>
      <c r="Y81" s="236"/>
      <c r="Z81" s="236"/>
      <c r="AA81" s="236"/>
      <c r="AB81" s="236"/>
      <c r="AC81" s="236"/>
      <c r="AD81" s="372"/>
      <c r="AE81" s="361"/>
      <c r="AF81" s="236"/>
      <c r="AG81" s="236"/>
      <c r="AH81" s="236"/>
      <c r="AI81" s="236"/>
      <c r="AJ81" s="236"/>
      <c r="AK81" s="236"/>
      <c r="AL81" s="236"/>
      <c r="AM81" s="236"/>
      <c r="AN81" s="236"/>
      <c r="AO81" s="236"/>
      <c r="AP81" s="236"/>
      <c r="AQ81" s="362"/>
    </row>
    <row r="82" spans="17:43" x14ac:dyDescent="0.25">
      <c r="Q82" s="469" t="s">
        <v>665</v>
      </c>
      <c r="R82" s="347">
        <v>1</v>
      </c>
      <c r="S82" s="361"/>
      <c r="T82" s="236"/>
      <c r="U82" s="236"/>
      <c r="V82" s="236"/>
      <c r="W82" s="236"/>
      <c r="X82" s="236"/>
      <c r="Y82" s="236"/>
      <c r="Z82" s="236"/>
      <c r="AA82" s="236"/>
      <c r="AB82" s="236"/>
      <c r="AC82" s="236"/>
      <c r="AD82" s="372"/>
      <c r="AE82" s="361"/>
      <c r="AF82" s="236"/>
      <c r="AG82" s="236"/>
      <c r="AH82" s="236"/>
      <c r="AI82" s="236"/>
      <c r="AJ82" s="236"/>
      <c r="AK82" s="236"/>
      <c r="AL82" s="236"/>
      <c r="AM82" s="236"/>
      <c r="AN82" s="236"/>
      <c r="AO82" s="236"/>
      <c r="AP82" s="236"/>
      <c r="AQ82" s="362"/>
    </row>
    <row r="83" spans="17:43" x14ac:dyDescent="0.25">
      <c r="Q83" s="470"/>
      <c r="R83" s="347"/>
      <c r="S83" s="361"/>
      <c r="T83" s="236"/>
      <c r="U83" s="236"/>
      <c r="V83" s="236"/>
      <c r="W83" s="236"/>
      <c r="X83" s="236"/>
      <c r="Y83" s="236"/>
      <c r="Z83" s="236"/>
      <c r="AA83" s="236"/>
      <c r="AB83" s="236"/>
      <c r="AC83" s="236"/>
      <c r="AD83" s="372"/>
      <c r="AE83" s="361"/>
      <c r="AF83" s="236"/>
      <c r="AG83" s="236"/>
      <c r="AH83" s="236"/>
      <c r="AI83" s="236"/>
      <c r="AJ83" s="236"/>
      <c r="AK83" s="236"/>
      <c r="AL83" s="236"/>
      <c r="AM83" s="236"/>
      <c r="AN83" s="236"/>
      <c r="AO83" s="236"/>
      <c r="AP83" s="236"/>
      <c r="AQ83" s="362"/>
    </row>
    <row r="84" spans="17:43" x14ac:dyDescent="0.25">
      <c r="Q84" s="470"/>
      <c r="R84" s="347"/>
      <c r="S84" s="361"/>
      <c r="T84" s="236"/>
      <c r="U84" s="236"/>
      <c r="V84" s="236"/>
      <c r="W84" s="236"/>
      <c r="X84" s="236"/>
      <c r="Y84" s="236"/>
      <c r="Z84" s="236"/>
      <c r="AA84" s="236"/>
      <c r="AB84" s="236"/>
      <c r="AC84" s="236"/>
      <c r="AD84" s="372"/>
      <c r="AE84" s="361"/>
      <c r="AF84" s="236"/>
      <c r="AG84" s="236"/>
      <c r="AH84" s="236"/>
      <c r="AI84" s="236"/>
      <c r="AJ84" s="236"/>
      <c r="AK84" s="236"/>
      <c r="AL84" s="236"/>
      <c r="AM84" s="236"/>
      <c r="AN84" s="236"/>
      <c r="AO84" s="236"/>
      <c r="AP84" s="236"/>
      <c r="AQ84" s="362"/>
    </row>
    <row r="85" spans="17:43" x14ac:dyDescent="0.25">
      <c r="Q85" s="470"/>
      <c r="R85" s="347">
        <v>4</v>
      </c>
      <c r="S85" s="361"/>
      <c r="T85" s="236"/>
      <c r="U85" s="236"/>
      <c r="V85" s="236" t="s">
        <v>212</v>
      </c>
      <c r="W85" s="236"/>
      <c r="X85" s="236" t="s">
        <v>296</v>
      </c>
      <c r="Y85" s="236"/>
      <c r="Z85" s="236"/>
      <c r="AA85" s="236" t="s">
        <v>310</v>
      </c>
      <c r="AB85" s="236" t="s">
        <v>311</v>
      </c>
      <c r="AC85" s="236"/>
      <c r="AD85" s="372"/>
      <c r="AE85" s="361"/>
      <c r="AF85" s="236" t="s">
        <v>288</v>
      </c>
      <c r="AG85" s="236"/>
      <c r="AH85" s="236"/>
      <c r="AI85" s="236"/>
      <c r="AJ85" s="236"/>
      <c r="AK85" s="236"/>
      <c r="AL85" s="236"/>
      <c r="AM85" s="236"/>
      <c r="AN85" s="236"/>
      <c r="AO85" s="236"/>
      <c r="AP85" s="236" t="s">
        <v>310</v>
      </c>
      <c r="AQ85" s="362" t="s">
        <v>212</v>
      </c>
    </row>
    <row r="86" spans="17:43" x14ac:dyDescent="0.25">
      <c r="Q86" s="470"/>
      <c r="R86" s="347">
        <v>5</v>
      </c>
      <c r="S86" s="361"/>
      <c r="T86" s="236"/>
      <c r="U86" s="236"/>
      <c r="V86" s="236"/>
      <c r="W86" s="236"/>
      <c r="X86" s="236"/>
      <c r="Y86" s="236"/>
      <c r="Z86" s="236"/>
      <c r="AA86" s="236"/>
      <c r="AB86" s="236"/>
      <c r="AC86" s="236"/>
      <c r="AD86" s="372"/>
      <c r="AE86" s="361"/>
      <c r="AF86" s="236"/>
      <c r="AG86" s="236"/>
      <c r="AH86" s="236"/>
      <c r="AI86" s="236"/>
      <c r="AJ86" s="236"/>
      <c r="AK86" s="236"/>
      <c r="AL86" s="236"/>
      <c r="AM86" s="236"/>
      <c r="AN86" s="236"/>
      <c r="AO86" s="236"/>
      <c r="AP86" s="236"/>
      <c r="AQ86" s="362"/>
    </row>
    <row r="87" spans="17:43" x14ac:dyDescent="0.25">
      <c r="Q87" s="470"/>
      <c r="R87" s="347">
        <v>6</v>
      </c>
      <c r="S87" s="361"/>
      <c r="T87" s="236"/>
      <c r="U87" s="236"/>
      <c r="V87" s="236"/>
      <c r="W87" s="236"/>
      <c r="X87" s="236"/>
      <c r="Y87" s="236"/>
      <c r="Z87" s="236"/>
      <c r="AA87" s="236"/>
      <c r="AB87" s="236"/>
      <c r="AC87" s="236"/>
      <c r="AD87" s="372"/>
      <c r="AE87" s="361"/>
      <c r="AF87" s="236"/>
      <c r="AG87" s="236"/>
      <c r="AH87" s="236"/>
      <c r="AI87" s="236"/>
      <c r="AJ87" s="236"/>
      <c r="AK87" s="236"/>
      <c r="AL87" s="236"/>
      <c r="AM87" s="236"/>
      <c r="AN87" s="236"/>
      <c r="AO87" s="236"/>
      <c r="AP87" s="236"/>
      <c r="AQ87" s="362"/>
    </row>
    <row r="88" spans="17:43" x14ac:dyDescent="0.25">
      <c r="Q88" s="470"/>
      <c r="R88" s="347">
        <v>7</v>
      </c>
      <c r="S88" s="361"/>
      <c r="T88" s="236"/>
      <c r="U88" s="236"/>
      <c r="V88" s="236"/>
      <c r="W88" s="236"/>
      <c r="X88" s="236"/>
      <c r="Y88" s="236"/>
      <c r="Z88" s="236"/>
      <c r="AA88" s="236"/>
      <c r="AB88" s="236"/>
      <c r="AC88" s="236"/>
      <c r="AD88" s="372"/>
      <c r="AE88" s="361"/>
      <c r="AF88" s="236"/>
      <c r="AG88" s="236"/>
      <c r="AH88" s="236"/>
      <c r="AI88" s="236"/>
      <c r="AJ88" s="236"/>
      <c r="AK88" s="236"/>
      <c r="AL88" s="236"/>
      <c r="AM88" s="236"/>
      <c r="AN88" s="236"/>
      <c r="AO88" s="236"/>
      <c r="AP88" s="236"/>
      <c r="AQ88" s="362"/>
    </row>
    <row r="89" spans="17:43" x14ac:dyDescent="0.25">
      <c r="Q89" s="470"/>
      <c r="R89" s="347">
        <v>8</v>
      </c>
      <c r="S89" s="361"/>
      <c r="T89" s="236"/>
      <c r="U89" s="236"/>
      <c r="V89" s="236"/>
      <c r="W89" s="236"/>
      <c r="X89" s="236"/>
      <c r="Y89" s="236"/>
      <c r="Z89" s="236"/>
      <c r="AA89" s="236"/>
      <c r="AB89" s="236"/>
      <c r="AC89" s="236"/>
      <c r="AD89" s="372"/>
      <c r="AE89" s="361"/>
      <c r="AF89" s="236"/>
      <c r="AG89" s="236"/>
      <c r="AH89" s="236"/>
      <c r="AI89" s="236"/>
      <c r="AJ89" s="236"/>
      <c r="AK89" s="236"/>
      <c r="AL89" s="236"/>
      <c r="AM89" s="236"/>
      <c r="AN89" s="236"/>
      <c r="AO89" s="236"/>
      <c r="AP89" s="236"/>
      <c r="AQ89" s="362"/>
    </row>
    <row r="90" spans="17:43" x14ac:dyDescent="0.25">
      <c r="Q90" s="470"/>
      <c r="R90" s="347"/>
      <c r="S90" s="361"/>
      <c r="T90" s="236"/>
      <c r="U90" s="236"/>
      <c r="V90" s="236"/>
      <c r="W90" s="236"/>
      <c r="X90" s="236"/>
      <c r="Y90" s="236"/>
      <c r="Z90" s="236"/>
      <c r="AA90" s="236"/>
      <c r="AB90" s="236"/>
      <c r="AC90" s="236"/>
      <c r="AD90" s="372"/>
      <c r="AE90" s="361"/>
      <c r="AF90" s="236"/>
      <c r="AG90" s="236"/>
      <c r="AH90" s="236"/>
      <c r="AI90" s="236"/>
      <c r="AJ90" s="236"/>
      <c r="AK90" s="236"/>
      <c r="AL90" s="236"/>
      <c r="AM90" s="236"/>
      <c r="AN90" s="236"/>
      <c r="AO90" s="236"/>
      <c r="AP90" s="236"/>
      <c r="AQ90" s="362"/>
    </row>
    <row r="91" spans="17:43" x14ac:dyDescent="0.25">
      <c r="Q91" s="470"/>
      <c r="R91" s="347"/>
      <c r="S91" s="361"/>
      <c r="T91" s="236"/>
      <c r="U91" s="236"/>
      <c r="V91" s="236"/>
      <c r="W91" s="236"/>
      <c r="X91" s="236"/>
      <c r="Y91" s="236"/>
      <c r="Z91" s="236"/>
      <c r="AA91" s="236"/>
      <c r="AB91" s="236"/>
      <c r="AC91" s="236"/>
      <c r="AD91" s="372"/>
      <c r="AE91" s="361"/>
      <c r="AF91" s="236"/>
      <c r="AG91" s="236"/>
      <c r="AH91" s="236"/>
      <c r="AI91" s="236"/>
      <c r="AJ91" s="236"/>
      <c r="AK91" s="236"/>
      <c r="AL91" s="236"/>
      <c r="AM91" s="236"/>
      <c r="AN91" s="236"/>
      <c r="AO91" s="236"/>
      <c r="AP91" s="236"/>
      <c r="AQ91" s="362"/>
    </row>
    <row r="92" spans="17:43" x14ac:dyDescent="0.25">
      <c r="Q92" s="470"/>
      <c r="R92" s="347">
        <v>11</v>
      </c>
      <c r="S92" s="361"/>
      <c r="T92" s="236"/>
      <c r="U92" s="236"/>
      <c r="V92" s="236"/>
      <c r="W92" s="236"/>
      <c r="X92" s="236"/>
      <c r="Y92" s="236"/>
      <c r="Z92" s="236"/>
      <c r="AA92" s="236"/>
      <c r="AB92" s="236"/>
      <c r="AC92" s="236"/>
      <c r="AD92" s="372"/>
      <c r="AE92" s="361"/>
      <c r="AF92" s="236"/>
      <c r="AG92" s="236"/>
      <c r="AH92" s="236"/>
      <c r="AI92" s="236"/>
      <c r="AJ92" s="236"/>
      <c r="AK92" s="236"/>
      <c r="AL92" s="236"/>
      <c r="AM92" s="236"/>
      <c r="AN92" s="236"/>
      <c r="AO92" s="236"/>
      <c r="AP92" s="236"/>
      <c r="AQ92" s="362"/>
    </row>
    <row r="93" spans="17:43" ht="15.75" thickBot="1" x14ac:dyDescent="0.3">
      <c r="Q93" s="471"/>
      <c r="R93" s="347">
        <v>12</v>
      </c>
      <c r="S93" s="363"/>
      <c r="T93" s="364"/>
      <c r="U93" s="364"/>
      <c r="V93" s="364"/>
      <c r="W93" s="364"/>
      <c r="X93" s="364"/>
      <c r="Y93" s="364"/>
      <c r="Z93" s="364"/>
      <c r="AA93" s="364"/>
      <c r="AB93" s="364"/>
      <c r="AC93" s="364"/>
      <c r="AD93" s="373"/>
      <c r="AE93" s="363"/>
      <c r="AF93" s="364"/>
      <c r="AG93" s="364"/>
      <c r="AH93" s="364"/>
      <c r="AI93" s="364"/>
      <c r="AJ93" s="364"/>
      <c r="AK93" s="364"/>
      <c r="AL93" s="364"/>
      <c r="AM93" s="364"/>
      <c r="AN93" s="364"/>
      <c r="AO93" s="364"/>
      <c r="AP93" s="364"/>
      <c r="AQ93" s="365"/>
    </row>
  </sheetData>
  <sortState xmlns:xlrd2="http://schemas.microsoft.com/office/spreadsheetml/2017/richdata2" ref="C16:J25">
    <sortCondition ref="C16:C25"/>
  </sortState>
  <mergeCells count="10">
    <mergeCell ref="Q82:Q93"/>
    <mergeCell ref="S8:AD8"/>
    <mergeCell ref="AE8:AQ8"/>
    <mergeCell ref="Q52:Q65"/>
    <mergeCell ref="Q24:Q37"/>
    <mergeCell ref="Q10:Q21"/>
    <mergeCell ref="Q22:Q23"/>
    <mergeCell ref="Q38:Q51"/>
    <mergeCell ref="Q66:Q79"/>
    <mergeCell ref="Q80:Q81"/>
  </mergeCells>
  <conditionalFormatting sqref="D16:D25">
    <cfRule type="expression" dxfId="175" priority="131">
      <formula>D16="Black Widow"</formula>
    </cfRule>
    <cfRule type="expression" dxfId="174" priority="132">
      <formula>D16="Captain America"</formula>
    </cfRule>
    <cfRule type="expression" dxfId="173" priority="133">
      <formula>D16="Vision"</formula>
    </cfRule>
    <cfRule type="expression" dxfId="172" priority="134">
      <formula>D16="Hulk"</formula>
    </cfRule>
    <cfRule type="expression" dxfId="171" priority="135">
      <formula>D16="Ironman"</formula>
    </cfRule>
  </conditionalFormatting>
  <conditionalFormatting sqref="D26">
    <cfRule type="expression" dxfId="170" priority="6">
      <formula>D26="Black Widow"</formula>
    </cfRule>
    <cfRule type="expression" dxfId="169" priority="7">
      <formula>D26="Captain America"</formula>
    </cfRule>
    <cfRule type="expression" dxfId="168" priority="8">
      <formula>D26="Vision"</formula>
    </cfRule>
    <cfRule type="expression" dxfId="167" priority="9">
      <formula>D26="Hulk"</formula>
    </cfRule>
    <cfRule type="expression" dxfId="166" priority="10">
      <formula>D26="Ironman"</formula>
    </cfRule>
  </conditionalFormatting>
  <conditionalFormatting sqref="D27">
    <cfRule type="expression" dxfId="165" priority="1">
      <formula>D27="Black Widow"</formula>
    </cfRule>
    <cfRule type="expression" dxfId="164" priority="2">
      <formula>D27="Captain America"</formula>
    </cfRule>
    <cfRule type="expression" dxfId="163" priority="3">
      <formula>D27="Vision"</formula>
    </cfRule>
    <cfRule type="expression" dxfId="162" priority="4">
      <formula>D27="Hulk"</formula>
    </cfRule>
    <cfRule type="expression" dxfId="161" priority="5">
      <formula>D27="Ironman"</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90DA6A2-3F4B-415F-8381-C474F87157BC}">
          <x14:formula1>
            <xm:f>Team!$E$5:$E$10</xm:f>
          </x14:formula1>
          <xm:sqref>D28:D1048576 D1</xm:sqref>
        </x14:dataValidation>
        <x14:dataValidation type="list" allowBlank="1" showInputMessage="1" showErrorMessage="1" xr:uid="{4536070D-760F-4547-BDF4-98B79A4E4A7D}">
          <x14:formula1>
            <xm:f>Team!$E$5:$E$9</xm:f>
          </x14:formula1>
          <xm:sqref>D2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4D69-A913-4F55-A035-D078822272D0}">
  <dimension ref="A1:BG91"/>
  <sheetViews>
    <sheetView tabSelected="1" topLeftCell="A37" zoomScaleNormal="100" workbookViewId="0">
      <pane xSplit="2" topLeftCell="AP1" activePane="topRight" state="frozen"/>
      <selection activeCell="A34" sqref="A34"/>
      <selection pane="topRight" activeCell="AU51" sqref="AU51"/>
    </sheetView>
  </sheetViews>
  <sheetFormatPr defaultColWidth="13.85546875" defaultRowHeight="15" x14ac:dyDescent="0.25"/>
  <cols>
    <col min="1" max="1" width="17.85546875" customWidth="1"/>
    <col min="2" max="2" width="23.7109375" customWidth="1"/>
    <col min="3" max="3" width="17.7109375" bestFit="1" customWidth="1"/>
    <col min="4" max="4" width="11.85546875" customWidth="1"/>
    <col min="5" max="5" width="13.7109375" bestFit="1" customWidth="1"/>
    <col min="6" max="6" width="16.7109375" bestFit="1" customWidth="1"/>
    <col min="7" max="7" width="19.85546875" bestFit="1" customWidth="1"/>
    <col min="8" max="8" width="8" bestFit="1" customWidth="1"/>
    <col min="9" max="9" width="16.42578125" customWidth="1"/>
    <col min="10" max="10" width="12.7109375" bestFit="1" customWidth="1"/>
    <col min="11" max="11" width="15.85546875" bestFit="1" customWidth="1"/>
    <col min="12" max="12" width="18.5703125" bestFit="1" customWidth="1"/>
    <col min="13" max="13" width="23.85546875" customWidth="1"/>
    <col min="14" max="14" width="16.5703125" customWidth="1"/>
    <col min="15" max="15" width="15.85546875" bestFit="1" customWidth="1"/>
    <col min="16" max="16" width="18.42578125" bestFit="1" customWidth="1"/>
    <col min="17" max="17" width="16" customWidth="1"/>
    <col min="18" max="18" width="9.42578125" bestFit="1" customWidth="1"/>
    <col min="19" max="19" width="15.85546875" bestFit="1" customWidth="1"/>
    <col min="20" max="20" width="8" bestFit="1" customWidth="1"/>
    <col min="21" max="21" width="5.85546875" bestFit="1" customWidth="1"/>
    <col min="22" max="22" width="6" bestFit="1" customWidth="1"/>
    <col min="23" max="23" width="15.85546875" bestFit="1" customWidth="1"/>
    <col min="24" max="24" width="8" bestFit="1" customWidth="1"/>
    <col min="25" max="25" width="5.85546875" bestFit="1" customWidth="1"/>
    <col min="26" max="26" width="5" bestFit="1" customWidth="1"/>
    <col min="27" max="27" width="15.85546875" bestFit="1" customWidth="1"/>
    <col min="28" max="28" width="11.28515625" bestFit="1" customWidth="1"/>
    <col min="29" max="29" width="5.85546875" bestFit="1" customWidth="1"/>
    <col min="30" max="30" width="6.7109375" bestFit="1" customWidth="1"/>
    <col min="31" max="31" width="15.85546875" bestFit="1" customWidth="1"/>
    <col min="32" max="32" width="8" bestFit="1" customWidth="1"/>
    <col min="33" max="33" width="5.85546875" bestFit="1" customWidth="1"/>
    <col min="34" max="34" width="5" bestFit="1" customWidth="1"/>
    <col min="35" max="35" width="15.85546875" bestFit="1" customWidth="1"/>
    <col min="36" max="36" width="8" bestFit="1" customWidth="1"/>
    <col min="37" max="37" width="5.85546875" bestFit="1" customWidth="1"/>
    <col min="38" max="38" width="6" bestFit="1" customWidth="1"/>
    <col min="39" max="39" width="15.85546875" bestFit="1" customWidth="1"/>
    <col min="40" max="40" width="8" bestFit="1" customWidth="1"/>
    <col min="41" max="41" width="5.85546875" bestFit="1" customWidth="1"/>
    <col min="42" max="42" width="6" bestFit="1" customWidth="1"/>
    <col min="43" max="43" width="15.85546875" bestFit="1" customWidth="1"/>
    <col min="44" max="44" width="8" bestFit="1" customWidth="1"/>
    <col min="45" max="45" width="5.85546875" bestFit="1" customWidth="1"/>
    <col min="46" max="46" width="5" bestFit="1" customWidth="1"/>
    <col min="47" max="47" width="15.85546875" bestFit="1" customWidth="1"/>
    <col min="48" max="48" width="8" bestFit="1" customWidth="1"/>
    <col min="49" max="49" width="5.85546875" bestFit="1" customWidth="1"/>
    <col min="50" max="50" width="6.7109375" bestFit="1" customWidth="1"/>
    <col min="51" max="51" width="24.5703125" customWidth="1"/>
    <col min="52" max="52" width="10.7109375" customWidth="1"/>
    <col min="53" max="53" width="5.85546875" bestFit="1" customWidth="1"/>
    <col min="54" max="54" width="11.140625" customWidth="1"/>
    <col min="56" max="56" width="37.42578125" customWidth="1"/>
  </cols>
  <sheetData>
    <row r="1" spans="1:17" x14ac:dyDescent="0.25">
      <c r="A1" t="s">
        <v>348</v>
      </c>
      <c r="B1" s="237"/>
      <c r="I1" s="237" t="s">
        <v>349</v>
      </c>
    </row>
    <row r="2" spans="1:17" ht="75" x14ac:dyDescent="0.25">
      <c r="I2" s="4" t="s">
        <v>350</v>
      </c>
      <c r="J2" s="59" t="s">
        <v>351</v>
      </c>
      <c r="L2" s="4" t="s">
        <v>352</v>
      </c>
      <c r="M2" s="4" t="s">
        <v>353</v>
      </c>
      <c r="N2" s="4" t="s">
        <v>354</v>
      </c>
      <c r="P2" s="212" t="s">
        <v>355</v>
      </c>
      <c r="Q2" s="213" t="s">
        <v>356</v>
      </c>
    </row>
    <row r="3" spans="1:17" x14ac:dyDescent="0.25">
      <c r="D3" s="4" t="s">
        <v>357</v>
      </c>
      <c r="E3" s="4" t="s">
        <v>358</v>
      </c>
      <c r="F3" s="4" t="s">
        <v>359</v>
      </c>
      <c r="I3" s="48" t="s">
        <v>284</v>
      </c>
      <c r="J3" s="4">
        <f>VLOOKUP($I3, 'Resource Planning'!$C$3:$M$13, 11, FALSE)</f>
        <v>46.4</v>
      </c>
      <c r="L3" s="4"/>
      <c r="M3" s="4"/>
      <c r="N3" s="4"/>
      <c r="P3" s="295" t="s">
        <v>322</v>
      </c>
      <c r="Q3" s="296">
        <f>VLOOKUP($P3, 'Resource Planning'!$C$16:$M$27, 11, FALSE)</f>
        <v>44</v>
      </c>
    </row>
    <row r="4" spans="1:17" x14ac:dyDescent="0.25">
      <c r="D4" s="4">
        <v>59</v>
      </c>
      <c r="E4" s="4">
        <v>98</v>
      </c>
      <c r="F4" s="4">
        <v>1</v>
      </c>
      <c r="I4" s="48" t="s">
        <v>289</v>
      </c>
      <c r="J4" s="4">
        <f>VLOOKUP($I4, 'Resource Planning'!$C$3:$M$13, 11, FALSE)</f>
        <v>46.400000000000006</v>
      </c>
      <c r="L4" s="4" t="s">
        <v>360</v>
      </c>
      <c r="M4" s="4" t="s">
        <v>361</v>
      </c>
      <c r="N4" s="4">
        <v>1</v>
      </c>
      <c r="P4" s="253" t="s">
        <v>324</v>
      </c>
      <c r="Q4" s="296">
        <f>VLOOKUP($P4, 'Resource Planning'!$C$16:$M$27, 11, FALSE)</f>
        <v>44</v>
      </c>
    </row>
    <row r="5" spans="1:17" x14ac:dyDescent="0.25">
      <c r="D5" s="4">
        <v>60</v>
      </c>
      <c r="E5" s="4">
        <v>99</v>
      </c>
      <c r="F5" s="4">
        <v>2</v>
      </c>
      <c r="I5" s="48" t="s">
        <v>293</v>
      </c>
      <c r="J5" s="4">
        <f>VLOOKUP($I5, 'Resource Planning'!$C$3:$M$13, 11, FALSE)</f>
        <v>47.2</v>
      </c>
      <c r="L5" s="4" t="s">
        <v>360</v>
      </c>
      <c r="M5" s="4" t="s">
        <v>362</v>
      </c>
      <c r="N5" s="4">
        <v>1</v>
      </c>
      <c r="P5" s="253" t="s">
        <v>325</v>
      </c>
      <c r="Q5" s="296">
        <f>VLOOKUP($P5, 'Resource Planning'!$C$16:$M$27, 11, FALSE)</f>
        <v>45.6</v>
      </c>
    </row>
    <row r="6" spans="1:17" x14ac:dyDescent="0.25">
      <c r="D6" s="4">
        <v>61</v>
      </c>
      <c r="E6" s="4">
        <v>100</v>
      </c>
      <c r="F6" s="4">
        <v>3</v>
      </c>
      <c r="I6" s="48" t="s">
        <v>297</v>
      </c>
      <c r="J6" s="4">
        <f>VLOOKUP($I6, 'Resource Planning'!$C$3:$M$13, 11, FALSE)</f>
        <v>43.2</v>
      </c>
      <c r="L6" s="4" t="s">
        <v>360</v>
      </c>
      <c r="M6" s="4" t="s">
        <v>363</v>
      </c>
      <c r="N6" s="4">
        <v>1</v>
      </c>
      <c r="P6" s="253" t="s">
        <v>326</v>
      </c>
      <c r="Q6" s="296">
        <f>VLOOKUP($P6, 'Resource Planning'!$C$16:$M$27, 11, FALSE)</f>
        <v>26.4</v>
      </c>
    </row>
    <row r="7" spans="1:17" x14ac:dyDescent="0.25">
      <c r="D7" s="4">
        <v>62</v>
      </c>
      <c r="E7" s="4">
        <v>101</v>
      </c>
      <c r="F7" s="4">
        <v>4</v>
      </c>
      <c r="I7" s="48" t="s">
        <v>299</v>
      </c>
      <c r="J7" s="4">
        <f>VLOOKUP($I7, 'Resource Planning'!$C$3:$M$13, 11, FALSE)</f>
        <v>47.2</v>
      </c>
      <c r="L7" s="4" t="s">
        <v>360</v>
      </c>
      <c r="M7" s="4" t="s">
        <v>364</v>
      </c>
      <c r="N7" s="4">
        <v>1</v>
      </c>
      <c r="P7" s="253" t="s">
        <v>327</v>
      </c>
      <c r="Q7" s="296">
        <f>VLOOKUP($P7, 'Resource Planning'!$C$16:$M$27, 11, FALSE)</f>
        <v>46.4</v>
      </c>
    </row>
    <row r="8" spans="1:17" x14ac:dyDescent="0.25">
      <c r="D8" s="4">
        <v>63</v>
      </c>
      <c r="E8" s="4">
        <v>102</v>
      </c>
      <c r="F8" s="4">
        <v>5</v>
      </c>
      <c r="I8" s="48" t="s">
        <v>301</v>
      </c>
      <c r="J8" s="4">
        <f>VLOOKUP($I8, 'Resource Planning'!$C$3:$M$13, 11, FALSE)</f>
        <v>44</v>
      </c>
      <c r="L8" s="4"/>
      <c r="M8" s="4" t="s">
        <v>432</v>
      </c>
      <c r="N8" s="4">
        <v>1</v>
      </c>
      <c r="P8" s="253" t="s">
        <v>328</v>
      </c>
      <c r="Q8" s="296">
        <f>VLOOKUP($P8, 'Resource Planning'!$C$16:$M$27, 11, FALSE)</f>
        <v>4.6399999999999997</v>
      </c>
    </row>
    <row r="9" spans="1:17" x14ac:dyDescent="0.25">
      <c r="D9" s="4">
        <v>64</v>
      </c>
      <c r="E9" s="4">
        <v>103</v>
      </c>
      <c r="F9" s="4">
        <v>6</v>
      </c>
      <c r="I9" s="48" t="s">
        <v>303</v>
      </c>
      <c r="J9" s="4">
        <f>VLOOKUP($I9, 'Resource Planning'!$C$3:$M$13, 11, FALSE)</f>
        <v>47.2</v>
      </c>
      <c r="L9" s="4"/>
      <c r="M9" s="103" t="s">
        <v>365</v>
      </c>
      <c r="N9" s="4">
        <v>2</v>
      </c>
      <c r="P9" s="253" t="s">
        <v>329</v>
      </c>
      <c r="Q9" s="296">
        <f>VLOOKUP($P9, 'Resource Planning'!$C$16:$M$27, 11, FALSE)</f>
        <v>44</v>
      </c>
    </row>
    <row r="10" spans="1:17" x14ac:dyDescent="0.25">
      <c r="I10" s="48" t="s">
        <v>315</v>
      </c>
      <c r="J10" s="4">
        <f>VLOOKUP($I10, 'Resource Planning'!$C$3:$M$13, 11, FALSE)</f>
        <v>46.4</v>
      </c>
      <c r="L10" s="4"/>
      <c r="M10" s="4" t="s">
        <v>366</v>
      </c>
      <c r="N10" s="4">
        <v>2.1</v>
      </c>
      <c r="P10" s="253" t="s">
        <v>330</v>
      </c>
      <c r="Q10" s="296">
        <f>VLOOKUP($P10, 'Resource Planning'!$C$16:$M$27, 11, FALSE)</f>
        <v>44.8</v>
      </c>
    </row>
    <row r="11" spans="1:17" x14ac:dyDescent="0.25">
      <c r="I11" s="48" t="s">
        <v>317</v>
      </c>
      <c r="J11" s="4">
        <f>VLOOKUP($I11, 'Resource Planning'!$C$3:$M$13, 11, FALSE)</f>
        <v>47.2</v>
      </c>
      <c r="L11" s="4"/>
      <c r="M11" s="4" t="s">
        <v>367</v>
      </c>
      <c r="N11" s="4">
        <v>2.1</v>
      </c>
      <c r="P11" s="253" t="s">
        <v>331</v>
      </c>
      <c r="Q11" s="296">
        <f>VLOOKUP($P11, 'Resource Planning'!$C$16:$M$27, 11, FALSE)</f>
        <v>37.119999999999997</v>
      </c>
    </row>
    <row r="12" spans="1:17" x14ac:dyDescent="0.25">
      <c r="I12" s="48" t="s">
        <v>319</v>
      </c>
      <c r="J12" s="4">
        <f>VLOOKUP($I12, 'Resource Planning'!$C$3:$M$13, 11, FALSE)</f>
        <v>47.2</v>
      </c>
      <c r="L12" s="4"/>
      <c r="M12" s="103" t="s">
        <v>368</v>
      </c>
      <c r="N12" s="4">
        <v>2.1</v>
      </c>
      <c r="P12" s="253" t="s">
        <v>332</v>
      </c>
      <c r="Q12" s="296">
        <f>VLOOKUP($P12, 'Resource Planning'!$C$16:$M$27, 11, FALSE)</f>
        <v>46.400000000000006</v>
      </c>
    </row>
    <row r="13" spans="1:17" x14ac:dyDescent="0.25">
      <c r="I13" s="48" t="s">
        <v>321</v>
      </c>
      <c r="J13" s="4" t="e">
        <f>VLOOKUP($I13, 'Resource Planning'!$C$3:$M$13, 11, FALSE)</f>
        <v>#N/A</v>
      </c>
      <c r="L13" s="4"/>
      <c r="M13" t="s">
        <v>724</v>
      </c>
      <c r="N13" s="4">
        <v>2.2999999999999998</v>
      </c>
      <c r="P13" s="253" t="s">
        <v>333</v>
      </c>
      <c r="Q13" s="296">
        <f>VLOOKUP($P13, 'Resource Planning'!$C$16:$M$27, 11, FALSE)</f>
        <v>46.4</v>
      </c>
    </row>
    <row r="14" spans="1:17" x14ac:dyDescent="0.25">
      <c r="J14" s="104"/>
      <c r="L14" s="4"/>
      <c r="M14" t="s">
        <v>725</v>
      </c>
      <c r="N14" s="4">
        <v>2.2999999999999998</v>
      </c>
      <c r="P14" s="253" t="s">
        <v>334</v>
      </c>
      <c r="Q14" s="296">
        <f>VLOOKUP($P14, 'Resource Planning'!$C$16:$M$27, 11, FALSE)</f>
        <v>44</v>
      </c>
    </row>
    <row r="15" spans="1:17" x14ac:dyDescent="0.25">
      <c r="L15" s="4"/>
      <c r="M15" s="4" t="s">
        <v>369</v>
      </c>
      <c r="N15" s="4">
        <v>3</v>
      </c>
      <c r="P15" s="253" t="s">
        <v>370</v>
      </c>
      <c r="Q15" s="296" t="e">
        <f>VLOOKUP($P15, 'Resource Planning'!$C$16:$M$27, 11, FALSE)</f>
        <v>#N/A</v>
      </c>
    </row>
    <row r="16" spans="1:17" x14ac:dyDescent="0.25">
      <c r="L16" s="86"/>
      <c r="M16" s="86" t="s">
        <v>371</v>
      </c>
      <c r="N16" s="86">
        <v>3.1</v>
      </c>
    </row>
    <row r="17" spans="2:19" x14ac:dyDescent="0.25">
      <c r="L17" s="4"/>
      <c r="M17" s="327" t="s">
        <v>771</v>
      </c>
      <c r="N17" s="327">
        <v>3.2</v>
      </c>
    </row>
    <row r="18" spans="2:19" x14ac:dyDescent="0.25">
      <c r="L18" s="4"/>
      <c r="M18" s="327" t="s">
        <v>666</v>
      </c>
      <c r="N18" s="4">
        <v>3.3</v>
      </c>
    </row>
    <row r="19" spans="2:19" x14ac:dyDescent="0.25">
      <c r="L19" s="4"/>
      <c r="M19" s="327" t="s">
        <v>722</v>
      </c>
      <c r="N19" s="327">
        <v>3.4</v>
      </c>
    </row>
    <row r="20" spans="2:19" x14ac:dyDescent="0.25">
      <c r="M20" s="440"/>
      <c r="N20" s="440"/>
    </row>
    <row r="21" spans="2:19" ht="44.25" customHeight="1" x14ac:dyDescent="0.25">
      <c r="B21" s="271" t="s">
        <v>372</v>
      </c>
      <c r="C21" s="387" t="s">
        <v>373</v>
      </c>
      <c r="D21" s="388"/>
      <c r="E21" s="388"/>
      <c r="F21" s="388"/>
      <c r="G21" s="388"/>
      <c r="H21" s="388"/>
      <c r="I21" s="388"/>
      <c r="J21" s="388"/>
      <c r="K21" s="388"/>
      <c r="L21" s="388"/>
      <c r="M21" s="388"/>
      <c r="N21" s="388"/>
      <c r="O21" s="388"/>
      <c r="P21" s="388"/>
      <c r="Q21" s="388"/>
      <c r="R21" s="388"/>
    </row>
    <row r="22" spans="2:19" ht="51.75" customHeight="1" x14ac:dyDescent="0.25">
      <c r="B22" s="267" t="s">
        <v>350</v>
      </c>
      <c r="C22" s="271" t="s">
        <v>374</v>
      </c>
      <c r="D22" s="269" t="s">
        <v>367</v>
      </c>
      <c r="E22" s="269" t="s">
        <v>362</v>
      </c>
      <c r="F22" s="270" t="s">
        <v>375</v>
      </c>
      <c r="G22" s="269" t="s">
        <v>376</v>
      </c>
      <c r="H22" s="269" t="s">
        <v>364</v>
      </c>
      <c r="I22" s="270" t="s">
        <v>366</v>
      </c>
      <c r="J22" s="270" t="s">
        <v>369</v>
      </c>
      <c r="K22" s="142" t="s">
        <v>377</v>
      </c>
      <c r="L22" s="142" t="s">
        <v>378</v>
      </c>
      <c r="M22" s="142" t="s">
        <v>379</v>
      </c>
      <c r="N22" s="142" t="s">
        <v>380</v>
      </c>
      <c r="O22" s="142" t="s">
        <v>381</v>
      </c>
      <c r="P22" s="142" t="s">
        <v>382</v>
      </c>
      <c r="Q22" s="142" t="s">
        <v>383</v>
      </c>
      <c r="R22" s="142" t="s">
        <v>384</v>
      </c>
      <c r="S22" s="142" t="s">
        <v>385</v>
      </c>
    </row>
    <row r="23" spans="2:19" x14ac:dyDescent="0.25">
      <c r="B23" s="253" t="s">
        <v>322</v>
      </c>
      <c r="C23" s="272">
        <f>VLOOKUP($B23, 'Resource Planning'!$C$16:$M$27, 11, FALSE)</f>
        <v>44</v>
      </c>
      <c r="D23" s="273"/>
      <c r="E23" s="273"/>
      <c r="F23" s="273"/>
      <c r="G23" s="273"/>
      <c r="H23" s="273"/>
      <c r="I23" s="273"/>
      <c r="J23" s="273"/>
      <c r="K23" s="274"/>
      <c r="L23" s="274"/>
      <c r="M23" s="274"/>
      <c r="N23" s="274"/>
      <c r="O23" s="274"/>
      <c r="P23" s="274"/>
      <c r="Q23" s="274"/>
      <c r="R23" s="274"/>
      <c r="S23" s="274"/>
    </row>
    <row r="24" spans="2:19" x14ac:dyDescent="0.25">
      <c r="B24" s="253" t="s">
        <v>324</v>
      </c>
      <c r="C24" s="272">
        <f>VLOOKUP($B24, 'Resource Planning'!$C$16:$M$27, 11, FALSE)</f>
        <v>44</v>
      </c>
      <c r="D24" s="273"/>
      <c r="E24" s="273"/>
      <c r="F24" s="273"/>
      <c r="G24" s="273"/>
      <c r="H24" s="273"/>
      <c r="I24" s="273"/>
      <c r="J24" s="273"/>
      <c r="K24" s="274"/>
      <c r="L24" s="274"/>
      <c r="M24" s="274"/>
      <c r="N24" s="274"/>
      <c r="O24" s="274"/>
      <c r="P24" s="274"/>
      <c r="Q24" s="274"/>
      <c r="R24" s="274"/>
      <c r="S24" s="274"/>
    </row>
    <row r="25" spans="2:19" x14ac:dyDescent="0.25">
      <c r="B25" s="253" t="s">
        <v>325</v>
      </c>
      <c r="C25" s="272">
        <f>VLOOKUP($B25, 'Resource Planning'!$C$16:$M$27, 11, FALSE)</f>
        <v>45.6</v>
      </c>
      <c r="D25" s="273"/>
      <c r="E25" s="273"/>
      <c r="F25" s="273"/>
      <c r="G25" s="273"/>
      <c r="H25" s="273"/>
      <c r="I25" s="273"/>
      <c r="J25" s="273"/>
      <c r="K25" s="274"/>
      <c r="L25" s="274"/>
      <c r="M25" s="274"/>
      <c r="N25" s="274"/>
      <c r="O25" s="274"/>
      <c r="P25" s="274"/>
      <c r="Q25" s="274"/>
      <c r="R25" s="274"/>
      <c r="S25" s="274"/>
    </row>
    <row r="26" spans="2:19" x14ac:dyDescent="0.25">
      <c r="B26" s="253" t="s">
        <v>326</v>
      </c>
      <c r="C26" s="272">
        <f>VLOOKUP($B26, 'Resource Planning'!$C$16:$M$27, 11, FALSE)</f>
        <v>26.4</v>
      </c>
      <c r="D26" s="273"/>
      <c r="E26" s="273"/>
      <c r="F26" s="273"/>
      <c r="G26" s="273"/>
      <c r="H26" s="273"/>
      <c r="I26" s="273"/>
      <c r="J26" s="273"/>
      <c r="K26" s="274"/>
      <c r="L26" s="274"/>
      <c r="M26" s="274"/>
      <c r="N26" s="274"/>
      <c r="O26" s="274"/>
      <c r="P26" s="274"/>
      <c r="Q26" s="274"/>
      <c r="R26" s="274"/>
      <c r="S26" s="274"/>
    </row>
    <row r="27" spans="2:19" x14ac:dyDescent="0.25">
      <c r="B27" s="253" t="s">
        <v>327</v>
      </c>
      <c r="C27" s="272">
        <f>VLOOKUP($B27, 'Resource Planning'!$C$16:$M$27, 11, FALSE)</f>
        <v>46.4</v>
      </c>
      <c r="D27" s="273"/>
      <c r="E27" s="273"/>
      <c r="F27" s="273"/>
      <c r="G27" s="273"/>
      <c r="H27" s="273"/>
      <c r="I27" s="273"/>
      <c r="J27" s="273"/>
      <c r="K27" s="274"/>
      <c r="L27" s="274"/>
      <c r="M27" s="274"/>
      <c r="N27" s="274"/>
      <c r="O27" s="274"/>
      <c r="P27" s="274"/>
      <c r="Q27" s="274"/>
      <c r="R27" s="274"/>
      <c r="S27" s="274"/>
    </row>
    <row r="28" spans="2:19" x14ac:dyDescent="0.25">
      <c r="B28" s="253" t="s">
        <v>328</v>
      </c>
      <c r="C28" s="272">
        <f>VLOOKUP($B28, 'Resource Planning'!$C$16:$M$27, 11, FALSE)</f>
        <v>4.6399999999999997</v>
      </c>
      <c r="D28" s="273"/>
      <c r="E28" s="273"/>
      <c r="F28" s="273"/>
      <c r="G28" s="273"/>
      <c r="H28" s="273"/>
      <c r="I28" s="273"/>
      <c r="J28" s="273"/>
      <c r="K28" s="274"/>
      <c r="L28" s="274"/>
      <c r="M28" s="274"/>
      <c r="N28" s="274"/>
      <c r="O28" s="274"/>
      <c r="P28" s="274"/>
      <c r="Q28" s="274"/>
      <c r="R28" s="274"/>
      <c r="S28" s="274"/>
    </row>
    <row r="29" spans="2:19" x14ac:dyDescent="0.25">
      <c r="B29" s="253" t="s">
        <v>329</v>
      </c>
      <c r="C29" s="272">
        <f>VLOOKUP($B29, 'Resource Planning'!$C$16:$M$27, 11, FALSE)</f>
        <v>44</v>
      </c>
      <c r="D29" s="273"/>
      <c r="E29" s="273"/>
      <c r="F29" s="273"/>
      <c r="G29" s="273"/>
      <c r="H29" s="273"/>
      <c r="I29" s="273"/>
      <c r="J29" s="273"/>
      <c r="K29" s="274"/>
      <c r="L29" s="274"/>
      <c r="M29" s="274"/>
      <c r="N29" s="274"/>
      <c r="O29" s="274"/>
      <c r="P29" s="274"/>
      <c r="Q29" s="274"/>
      <c r="R29" s="274"/>
      <c r="S29" s="274"/>
    </row>
    <row r="30" spans="2:19" x14ac:dyDescent="0.25">
      <c r="B30" s="253" t="s">
        <v>330</v>
      </c>
      <c r="C30" s="272">
        <f>VLOOKUP($B30, 'Resource Planning'!$C$16:$M$27, 11, FALSE)</f>
        <v>44.8</v>
      </c>
      <c r="D30" s="273"/>
      <c r="E30" s="273"/>
      <c r="F30" s="273"/>
      <c r="G30" s="273"/>
      <c r="H30" s="273"/>
      <c r="I30" s="273"/>
      <c r="J30" s="273"/>
      <c r="K30" s="274"/>
      <c r="L30" s="274"/>
      <c r="M30" s="274"/>
      <c r="N30" s="274"/>
      <c r="O30" s="274"/>
      <c r="P30" s="274"/>
      <c r="Q30" s="274"/>
      <c r="R30" s="274"/>
      <c r="S30" s="274"/>
    </row>
    <row r="31" spans="2:19" x14ac:dyDescent="0.25">
      <c r="B31" s="253" t="s">
        <v>331</v>
      </c>
      <c r="C31" s="272">
        <f>VLOOKUP($B31, 'Resource Planning'!$C$16:$M$27, 11, FALSE)</f>
        <v>37.119999999999997</v>
      </c>
      <c r="D31" s="273"/>
      <c r="E31" s="273"/>
      <c r="F31" s="273"/>
      <c r="G31" s="273"/>
      <c r="H31" s="273"/>
      <c r="I31" s="273"/>
      <c r="J31" s="273"/>
      <c r="K31" s="274"/>
      <c r="L31" s="274"/>
      <c r="M31" s="274"/>
      <c r="N31" s="274"/>
      <c r="O31" s="274"/>
      <c r="P31" s="274"/>
      <c r="Q31" s="274"/>
      <c r="R31" s="274"/>
      <c r="S31" s="274"/>
    </row>
    <row r="32" spans="2:19" x14ac:dyDescent="0.25">
      <c r="B32" s="253" t="s">
        <v>332</v>
      </c>
      <c r="C32" s="272">
        <f>VLOOKUP($B32, 'Resource Planning'!$C$16:$M$27, 11, FALSE)</f>
        <v>46.400000000000006</v>
      </c>
      <c r="D32" s="273"/>
      <c r="E32" s="273"/>
      <c r="F32" s="273"/>
      <c r="G32" s="273"/>
      <c r="H32" s="273"/>
      <c r="I32" s="273"/>
      <c r="J32" s="273"/>
      <c r="K32" s="274"/>
      <c r="L32" s="274"/>
      <c r="M32" s="274"/>
      <c r="N32" s="274"/>
      <c r="O32" s="274"/>
      <c r="P32" s="274"/>
      <c r="Q32" s="274"/>
      <c r="R32" s="274"/>
      <c r="S32" s="274"/>
    </row>
    <row r="33" spans="1:59" x14ac:dyDescent="0.25">
      <c r="B33" s="253" t="s">
        <v>333</v>
      </c>
      <c r="C33" s="272">
        <f>VLOOKUP($B33, 'Resource Planning'!$C$16:$M$27, 11, FALSE)</f>
        <v>46.4</v>
      </c>
      <c r="D33" s="273"/>
      <c r="E33" s="273"/>
      <c r="F33" s="273"/>
      <c r="G33" s="273"/>
      <c r="H33" s="273"/>
      <c r="I33" s="273"/>
      <c r="J33" s="273"/>
      <c r="K33" s="274"/>
      <c r="L33" s="274"/>
      <c r="M33" s="274"/>
      <c r="N33" s="274"/>
      <c r="O33" s="274"/>
      <c r="P33" s="274"/>
      <c r="Q33" s="274"/>
      <c r="R33" s="274"/>
      <c r="S33" s="274"/>
    </row>
    <row r="34" spans="1:59" x14ac:dyDescent="0.25">
      <c r="B34" s="253" t="s">
        <v>334</v>
      </c>
      <c r="C34" s="272">
        <f>VLOOKUP($B34, 'Resource Planning'!$C$16:$M$27, 11, FALSE)</f>
        <v>44</v>
      </c>
      <c r="D34" s="273"/>
      <c r="E34" s="273"/>
      <c r="F34" s="273"/>
      <c r="G34" s="273"/>
      <c r="H34" s="273"/>
      <c r="I34" s="273"/>
      <c r="J34" s="273"/>
      <c r="K34" s="274"/>
      <c r="L34" s="274"/>
      <c r="M34" s="274"/>
      <c r="N34" s="274"/>
      <c r="O34" s="274"/>
      <c r="P34" s="274"/>
      <c r="Q34" s="274"/>
      <c r="R34" s="274"/>
      <c r="S34" s="274"/>
    </row>
    <row r="35" spans="1:59" x14ac:dyDescent="0.25">
      <c r="B35" s="253" t="s">
        <v>370</v>
      </c>
      <c r="C35" s="272" t="e">
        <f>VLOOKUP($B35, 'Resource Planning'!$C$16:$M$27, 11, FALSE)</f>
        <v>#N/A</v>
      </c>
      <c r="D35" s="273"/>
      <c r="E35" s="273"/>
      <c r="F35" s="273"/>
      <c r="G35" s="273"/>
      <c r="H35" s="273"/>
      <c r="I35" s="273"/>
      <c r="J35" s="273"/>
      <c r="K35" s="274"/>
      <c r="L35" s="274"/>
      <c r="M35" s="274"/>
      <c r="N35" s="274"/>
      <c r="O35" s="274"/>
      <c r="P35" s="274"/>
      <c r="Q35" s="274"/>
      <c r="R35" s="274"/>
      <c r="S35" s="274"/>
    </row>
    <row r="36" spans="1:59" x14ac:dyDescent="0.25">
      <c r="AU36" s="309" t="s">
        <v>386</v>
      </c>
    </row>
    <row r="37" spans="1:59" x14ac:dyDescent="0.25">
      <c r="AU37" s="309" t="s">
        <v>387</v>
      </c>
    </row>
    <row r="38" spans="1:59" x14ac:dyDescent="0.25">
      <c r="K38" t="s">
        <v>388</v>
      </c>
      <c r="AU38" s="309" t="s">
        <v>389</v>
      </c>
    </row>
    <row r="39" spans="1:59" x14ac:dyDescent="0.25">
      <c r="P39" s="104" t="s">
        <v>390</v>
      </c>
      <c r="S39" s="309" t="s">
        <v>391</v>
      </c>
      <c r="AU39" s="309" t="s">
        <v>392</v>
      </c>
    </row>
    <row r="40" spans="1:59" x14ac:dyDescent="0.25">
      <c r="P40" s="309" t="s">
        <v>392</v>
      </c>
      <c r="S40" s="309" t="s">
        <v>386</v>
      </c>
      <c r="W40" s="309">
        <v>95</v>
      </c>
      <c r="AI40" s="104" t="s">
        <v>393</v>
      </c>
      <c r="AU40" s="309"/>
    </row>
    <row r="41" spans="1:59" x14ac:dyDescent="0.25">
      <c r="C41" s="308">
        <v>0.7</v>
      </c>
      <c r="D41" t="s">
        <v>366</v>
      </c>
      <c r="E41" s="309" t="s">
        <v>394</v>
      </c>
      <c r="G41" s="308">
        <v>0.35</v>
      </c>
      <c r="H41" t="s">
        <v>366</v>
      </c>
      <c r="K41" s="308"/>
      <c r="L41" s="309" t="s">
        <v>394</v>
      </c>
      <c r="O41" t="s">
        <v>366</v>
      </c>
      <c r="P41" s="328">
        <v>0.4</v>
      </c>
      <c r="S41" s="309" t="s">
        <v>392</v>
      </c>
      <c r="W41" s="104" t="s">
        <v>395</v>
      </c>
      <c r="AA41" s="309" t="s">
        <v>396</v>
      </c>
      <c r="AE41" s="309" t="s">
        <v>397</v>
      </c>
      <c r="AI41" s="309">
        <v>93</v>
      </c>
      <c r="AM41" s="309" t="s">
        <v>396</v>
      </c>
      <c r="AR41" s="309" t="s">
        <v>398</v>
      </c>
      <c r="AU41" s="309" t="s">
        <v>399</v>
      </c>
      <c r="AY41" s="309" t="s">
        <v>400</v>
      </c>
    </row>
    <row r="42" spans="1:59" ht="15.75" thickBot="1" x14ac:dyDescent="0.3">
      <c r="AI42" s="328">
        <v>0.2</v>
      </c>
      <c r="AJ42" t="s">
        <v>366</v>
      </c>
      <c r="AR42" s="309" t="s">
        <v>401</v>
      </c>
    </row>
    <row r="43" spans="1:59" x14ac:dyDescent="0.25">
      <c r="C43" s="499" t="s">
        <v>322</v>
      </c>
      <c r="D43" s="500"/>
      <c r="E43" s="500"/>
      <c r="F43" s="501"/>
      <c r="G43" s="499" t="s">
        <v>324</v>
      </c>
      <c r="H43" s="500"/>
      <c r="I43" s="500"/>
      <c r="J43" s="501"/>
      <c r="K43" s="382" t="s">
        <v>325</v>
      </c>
      <c r="L43" s="383"/>
      <c r="M43" s="383"/>
      <c r="N43" s="384"/>
      <c r="O43" s="499" t="s">
        <v>326</v>
      </c>
      <c r="P43" s="500"/>
      <c r="Q43" s="500"/>
      <c r="R43" s="501"/>
      <c r="S43" s="499" t="s">
        <v>327</v>
      </c>
      <c r="T43" s="500"/>
      <c r="U43" s="500"/>
      <c r="V43" s="501"/>
      <c r="W43" s="499" t="s">
        <v>328</v>
      </c>
      <c r="X43" s="500"/>
      <c r="Y43" s="500"/>
      <c r="Z43" s="501"/>
      <c r="AA43" s="499" t="s">
        <v>329</v>
      </c>
      <c r="AB43" s="500"/>
      <c r="AC43" s="500"/>
      <c r="AD43" s="501"/>
      <c r="AE43" s="499" t="s">
        <v>330</v>
      </c>
      <c r="AF43" s="500"/>
      <c r="AG43" s="500"/>
      <c r="AH43" s="501"/>
      <c r="AI43" s="499" t="s">
        <v>331</v>
      </c>
      <c r="AJ43" s="500"/>
      <c r="AK43" s="500"/>
      <c r="AL43" s="501"/>
      <c r="AM43" s="499" t="s">
        <v>332</v>
      </c>
      <c r="AN43" s="500"/>
      <c r="AO43" s="500"/>
      <c r="AP43" s="501"/>
      <c r="AQ43" s="499" t="s">
        <v>333</v>
      </c>
      <c r="AR43" s="500"/>
      <c r="AS43" s="500"/>
      <c r="AT43" s="501"/>
      <c r="AU43" s="502" t="s">
        <v>334</v>
      </c>
      <c r="AV43" s="503"/>
      <c r="AW43" s="503"/>
      <c r="AX43" s="504"/>
      <c r="AY43" s="505" t="s">
        <v>370</v>
      </c>
      <c r="AZ43" s="506"/>
      <c r="BA43" s="506"/>
      <c r="BB43" s="507"/>
      <c r="BD43" s="104" t="s">
        <v>402</v>
      </c>
      <c r="BE43" t="s">
        <v>403</v>
      </c>
      <c r="BF43" t="s">
        <v>404</v>
      </c>
      <c r="BG43" t="s">
        <v>405</v>
      </c>
    </row>
    <row r="44" spans="1:59" ht="15.75" thickBot="1" x14ac:dyDescent="0.3">
      <c r="B44" s="305" t="s">
        <v>406</v>
      </c>
      <c r="C44" s="284" t="str">
        <f>CONCATENATE("Percentage (", SUM(C$45:C$59)*100, "%)")</f>
        <v>Percentage (30%)</v>
      </c>
      <c r="D44" s="285" t="s">
        <v>407</v>
      </c>
      <c r="E44" s="285" t="s">
        <v>408</v>
      </c>
      <c r="F44" s="286" t="s">
        <v>409</v>
      </c>
      <c r="G44" s="284" t="str">
        <f>CONCATENATE("Percentage (", SUM(G$45:G$59)*100, "%)")</f>
        <v>Percentage (65%)</v>
      </c>
      <c r="H44" s="285" t="s">
        <v>407</v>
      </c>
      <c r="I44" s="285" t="s">
        <v>408</v>
      </c>
      <c r="J44" s="286" t="s">
        <v>409</v>
      </c>
      <c r="K44" s="284" t="str">
        <f>CONCATENATE("Percentage (", SUM(K$45:K$59)*100, "%)")</f>
        <v>Percentage (100%)</v>
      </c>
      <c r="L44" s="285" t="s">
        <v>407</v>
      </c>
      <c r="M44" s="285" t="s">
        <v>408</v>
      </c>
      <c r="N44" s="286" t="s">
        <v>409</v>
      </c>
      <c r="O44" s="284" t="str">
        <f>CONCATENATE("Percentage (", SUM(O$45:O$59)*100, "%)")</f>
        <v>Percentage (60%)</v>
      </c>
      <c r="P44" s="285" t="s">
        <v>407</v>
      </c>
      <c r="Q44" s="285" t="s">
        <v>408</v>
      </c>
      <c r="R44" s="286" t="s">
        <v>409</v>
      </c>
      <c r="S44" s="284" t="str">
        <f>CONCATENATE("Percentage (", SUM(S$45:S$59)*100, "%)")</f>
        <v>Percentage (100%)</v>
      </c>
      <c r="T44" s="285" t="s">
        <v>407</v>
      </c>
      <c r="U44" s="285" t="s">
        <v>408</v>
      </c>
      <c r="V44" s="286" t="s">
        <v>409</v>
      </c>
      <c r="W44" s="284" t="str">
        <f>CONCATENATE("Percentage (", SUM(W$45:W$59)*100, "%)")</f>
        <v>Percentage (10%)</v>
      </c>
      <c r="X44" s="285" t="s">
        <v>407</v>
      </c>
      <c r="Y44" s="285" t="s">
        <v>408</v>
      </c>
      <c r="Z44" s="286" t="s">
        <v>409</v>
      </c>
      <c r="AA44" s="284" t="str">
        <f>CONCATENATE("Percentage (", SUM(AA$45:AA$59)*100, "%)")</f>
        <v>Percentage (100%)</v>
      </c>
      <c r="AB44" s="285" t="s">
        <v>407</v>
      </c>
      <c r="AC44" s="285" t="s">
        <v>408</v>
      </c>
      <c r="AD44" s="286" t="s">
        <v>409</v>
      </c>
      <c r="AE44" s="284" t="str">
        <f>CONCATENATE("Percentage (", SUM(AE$45:AE$59)*100, "%)")</f>
        <v>Percentage (100%)</v>
      </c>
      <c r="AF44" s="285" t="s">
        <v>407</v>
      </c>
      <c r="AG44" s="285" t="s">
        <v>408</v>
      </c>
      <c r="AH44" s="286" t="s">
        <v>409</v>
      </c>
      <c r="AI44" s="284" t="str">
        <f>CONCATENATE("Percentage (", SUM(AI$45:AI$59)*100, "%)")</f>
        <v>Percentage (80%)</v>
      </c>
      <c r="AJ44" s="285" t="s">
        <v>407</v>
      </c>
      <c r="AK44" s="285" t="s">
        <v>408</v>
      </c>
      <c r="AL44" s="286" t="s">
        <v>409</v>
      </c>
      <c r="AM44" s="284" t="str">
        <f>CONCATENATE("Percentage (", SUM(AM$45:AM$59)*100, "%)")</f>
        <v>Percentage (100%)</v>
      </c>
      <c r="AN44" s="285" t="s">
        <v>407</v>
      </c>
      <c r="AO44" s="285" t="s">
        <v>408</v>
      </c>
      <c r="AP44" s="286" t="s">
        <v>409</v>
      </c>
      <c r="AQ44" s="284" t="str">
        <f>CONCATENATE("Percentage (", SUM(AQ$45:AQ$59)*100, "%)")</f>
        <v>Percentage (100%)</v>
      </c>
      <c r="AR44" s="285" t="s">
        <v>407</v>
      </c>
      <c r="AS44" s="285" t="s">
        <v>408</v>
      </c>
      <c r="AT44" s="286" t="s">
        <v>409</v>
      </c>
      <c r="AU44" s="284" t="str">
        <f>CONCATENATE("Percentage (", SUM(AU$45:AU$59)*100, "%)")</f>
        <v>Percentage (60%)</v>
      </c>
      <c r="AV44" s="285" t="s">
        <v>407</v>
      </c>
      <c r="AW44" s="285" t="s">
        <v>408</v>
      </c>
      <c r="AX44" s="286" t="s">
        <v>409</v>
      </c>
      <c r="AY44" s="287" t="s">
        <v>410</v>
      </c>
      <c r="AZ44" s="288" t="s">
        <v>407</v>
      </c>
      <c r="BA44" s="288" t="s">
        <v>408</v>
      </c>
      <c r="BB44" s="289" t="s">
        <v>409</v>
      </c>
    </row>
    <row r="45" spans="1:59" ht="15" customHeight="1" thickBot="1" x14ac:dyDescent="0.3">
      <c r="A45" s="493" t="s">
        <v>411</v>
      </c>
      <c r="B45" s="120" t="str">
        <f t="shared" ref="B45:B60" si="0">M4</f>
        <v>PROOF</v>
      </c>
      <c r="C45" s="303">
        <v>0</v>
      </c>
      <c r="D45" s="282">
        <f t="shared" ref="D45:D60" si="1">VLOOKUP($C$43, $P$3:$Q$15, 2, FALSE)*C45</f>
        <v>0</v>
      </c>
      <c r="E45" s="135">
        <v>0</v>
      </c>
      <c r="F45" s="300">
        <f t="shared" ref="F45" si="2">D45-E45</f>
        <v>0</v>
      </c>
      <c r="G45" s="298">
        <v>0</v>
      </c>
      <c r="H45" s="282">
        <f t="shared" ref="H45:H60" si="3">VLOOKUP($C$43, $P$3:$Q$15, 2, FALSE)*G45</f>
        <v>0</v>
      </c>
      <c r="I45" s="135">
        <v>0</v>
      </c>
      <c r="J45" s="300">
        <f t="shared" ref="J45:J47" si="4">H45-I45</f>
        <v>0</v>
      </c>
      <c r="K45" s="297">
        <v>0</v>
      </c>
      <c r="L45" s="282">
        <f t="shared" ref="L45:L60" si="5">VLOOKUP($C$43, $P$3:$Q$15, 2, FALSE)*K45</f>
        <v>0</v>
      </c>
      <c r="M45" s="135">
        <v>0</v>
      </c>
      <c r="N45" s="300">
        <f t="shared" ref="N45:N60" si="6">L45-M45</f>
        <v>0</v>
      </c>
      <c r="O45" s="297">
        <v>0</v>
      </c>
      <c r="P45" s="282">
        <f t="shared" ref="P45:P60" si="7">VLOOKUP($C$43, $P$3:$Q$15, 2, FALSE)*O45</f>
        <v>0</v>
      </c>
      <c r="Q45" s="281">
        <v>0</v>
      </c>
      <c r="R45" s="300">
        <f t="shared" ref="R45:R47" si="8">P45-Q45</f>
        <v>0</v>
      </c>
      <c r="S45" s="297">
        <v>0</v>
      </c>
      <c r="T45" s="282">
        <f t="shared" ref="T45:T60" si="9">VLOOKUP($C$43, $P$3:$Q$15, 2, FALSE)*S45</f>
        <v>0</v>
      </c>
      <c r="U45" s="135">
        <v>0</v>
      </c>
      <c r="V45" s="300">
        <f t="shared" ref="V45:V47" si="10">T45-U45</f>
        <v>0</v>
      </c>
      <c r="W45" s="297">
        <v>0</v>
      </c>
      <c r="X45" s="282">
        <f t="shared" ref="X45:X60" si="11">VLOOKUP($C$43, $P$3:$Q$15, 2, FALSE)*W45</f>
        <v>0</v>
      </c>
      <c r="Y45" s="135">
        <f t="shared" ref="Y45:Y50" si="12">VLOOKUP($W$43,$B$22:$S$35,A73,FALSE)</f>
        <v>0</v>
      </c>
      <c r="Z45" s="300">
        <f t="shared" ref="Z45:Z47" si="13">X45-Y45</f>
        <v>0</v>
      </c>
      <c r="AA45" s="297">
        <v>0</v>
      </c>
      <c r="AB45" s="282">
        <f t="shared" ref="AB45:AB60" si="14">VLOOKUP($C$43, $P$3:$Q$15, 2, FALSE)*AA45</f>
        <v>0</v>
      </c>
      <c r="AC45" s="135">
        <f t="shared" ref="AC45:AC60" si="15">VLOOKUP($AA$43,$B$22:$S$35,A73,FALSE)</f>
        <v>0</v>
      </c>
      <c r="AD45" s="300">
        <f t="shared" ref="AD45:AD47" si="16">AB45-AC45</f>
        <v>0</v>
      </c>
      <c r="AE45" s="298">
        <v>0</v>
      </c>
      <c r="AF45" s="282">
        <f t="shared" ref="AF45:AF60" si="17">VLOOKUP($C$43, $P$3:$Q$15, 2, FALSE)*AE45</f>
        <v>0</v>
      </c>
      <c r="AG45" s="135">
        <v>0</v>
      </c>
      <c r="AH45" s="300">
        <f t="shared" ref="AH45:AH47" si="18">AF45-AG45</f>
        <v>0</v>
      </c>
      <c r="AI45" s="297">
        <v>0</v>
      </c>
      <c r="AJ45" s="282">
        <f t="shared" ref="AJ45:AJ60" si="19">VLOOKUP($C$43, $P$3:$Q$15, 2, FALSE)*AI45</f>
        <v>0</v>
      </c>
      <c r="AK45" s="135">
        <f t="shared" ref="AK45:AK60" si="20">VLOOKUP($AI$43,$B$22:$S$35,A73,FALSE)</f>
        <v>0</v>
      </c>
      <c r="AL45" s="300">
        <f t="shared" ref="AL45:AL47" si="21">AJ45-AK45</f>
        <v>0</v>
      </c>
      <c r="AM45" s="297">
        <v>0</v>
      </c>
      <c r="AN45" s="282">
        <f t="shared" ref="AN45:AN60" si="22">VLOOKUP($C$43, $P$3:$Q$15, 2, FALSE)*AM45</f>
        <v>0</v>
      </c>
      <c r="AO45" s="135">
        <f t="shared" ref="AO45:AO60" si="23">VLOOKUP($AM$43,$B$22:$S$35,A73,FALSE)</f>
        <v>0</v>
      </c>
      <c r="AP45" s="300">
        <f t="shared" ref="AP45:AP47" si="24">AN45-AO45</f>
        <v>0</v>
      </c>
      <c r="AQ45" s="298">
        <v>0</v>
      </c>
      <c r="AR45" s="282">
        <f t="shared" ref="AR45:AR60" si="25">VLOOKUP($C$43, $P$3:$Q$15, 2, FALSE)*AQ45</f>
        <v>0</v>
      </c>
      <c r="AS45" s="135">
        <f t="shared" ref="AS45:AS60" si="26">VLOOKUP($AQ$43,$B$22:$S$35,A73,FALSE)</f>
        <v>0</v>
      </c>
      <c r="AT45" s="300">
        <f t="shared" ref="AT45:AT47" si="27">AR45-AS45</f>
        <v>0</v>
      </c>
      <c r="AU45" s="298">
        <v>0</v>
      </c>
      <c r="AV45" s="282">
        <f t="shared" ref="AV45:AV60" si="28">VLOOKUP($C$43, $P$3:$Q$15, 2, FALSE)*AU45</f>
        <v>0</v>
      </c>
      <c r="AW45" s="135">
        <f>VLOOKUP($AU$43,$B$22:$S$35,A73,FALSE)</f>
        <v>0</v>
      </c>
      <c r="AX45" s="300">
        <f t="shared" ref="AX45:AX47" si="29">AV45-AW45</f>
        <v>0</v>
      </c>
      <c r="AY45" s="290">
        <v>0</v>
      </c>
      <c r="AZ45" s="293">
        <v>0</v>
      </c>
      <c r="BA45" s="135">
        <f t="shared" ref="BA45:BA50" si="30">VLOOKUP($AY$43,$B$22:$S$35,A73,FALSE)</f>
        <v>0</v>
      </c>
      <c r="BB45" s="300">
        <f t="shared" ref="BB45:BB47" si="31">AZ45-BA45</f>
        <v>0</v>
      </c>
      <c r="BC45">
        <f t="shared" ref="BC45:BC59" si="32">SUM(F45,J45,N45,R45,V45,Z45,AD45,AH45,AL45,AP45,AT45,AX45,BB45)</f>
        <v>0</v>
      </c>
      <c r="BD45" s="104" t="s">
        <v>412</v>
      </c>
    </row>
    <row r="46" spans="1:59" ht="15.75" thickBot="1" x14ac:dyDescent="0.3">
      <c r="A46" s="493"/>
      <c r="B46" s="120" t="str">
        <f t="shared" si="0"/>
        <v>GRID</v>
      </c>
      <c r="C46" s="303">
        <v>0.1</v>
      </c>
      <c r="D46" s="282">
        <f t="shared" si="1"/>
        <v>4.4000000000000004</v>
      </c>
      <c r="E46" s="135">
        <v>0</v>
      </c>
      <c r="F46" s="301">
        <f t="shared" ref="F46:F50" si="33">D46-E46</f>
        <v>4.4000000000000004</v>
      </c>
      <c r="G46" s="298">
        <v>0.15</v>
      </c>
      <c r="H46" s="132">
        <f t="shared" si="3"/>
        <v>6.6</v>
      </c>
      <c r="I46" s="135">
        <v>0</v>
      </c>
      <c r="J46" s="301">
        <f t="shared" si="4"/>
        <v>6.6</v>
      </c>
      <c r="K46" s="298">
        <v>0.15</v>
      </c>
      <c r="L46" s="132">
        <f t="shared" si="5"/>
        <v>6.6</v>
      </c>
      <c r="M46" s="135">
        <v>0</v>
      </c>
      <c r="N46" s="301">
        <f t="shared" si="6"/>
        <v>6.6</v>
      </c>
      <c r="O46" s="297">
        <v>0</v>
      </c>
      <c r="P46" s="132">
        <f t="shared" si="7"/>
        <v>0</v>
      </c>
      <c r="Q46" s="281">
        <v>0</v>
      </c>
      <c r="R46" s="301">
        <f t="shared" si="8"/>
        <v>0</v>
      </c>
      <c r="S46" s="298">
        <v>0.1</v>
      </c>
      <c r="T46" s="132">
        <f t="shared" si="9"/>
        <v>4.4000000000000004</v>
      </c>
      <c r="U46" s="135">
        <v>0</v>
      </c>
      <c r="V46" s="301">
        <f t="shared" si="10"/>
        <v>4.4000000000000004</v>
      </c>
      <c r="W46" s="298">
        <v>0</v>
      </c>
      <c r="X46" s="132">
        <f t="shared" si="11"/>
        <v>0</v>
      </c>
      <c r="Y46" s="135">
        <f t="shared" si="12"/>
        <v>0</v>
      </c>
      <c r="Z46" s="301">
        <f t="shared" si="13"/>
        <v>0</v>
      </c>
      <c r="AA46" s="298">
        <v>0.1</v>
      </c>
      <c r="AB46" s="132">
        <f t="shared" si="14"/>
        <v>4.4000000000000004</v>
      </c>
      <c r="AC46" s="135">
        <f t="shared" si="15"/>
        <v>0</v>
      </c>
      <c r="AD46" s="301">
        <f t="shared" si="16"/>
        <v>4.4000000000000004</v>
      </c>
      <c r="AE46" s="298">
        <v>0.2</v>
      </c>
      <c r="AF46" s="132">
        <f t="shared" si="17"/>
        <v>8.8000000000000007</v>
      </c>
      <c r="AG46" s="135">
        <v>0</v>
      </c>
      <c r="AH46" s="301">
        <f t="shared" si="18"/>
        <v>8.8000000000000007</v>
      </c>
      <c r="AI46" s="298">
        <v>0.15</v>
      </c>
      <c r="AJ46" s="132">
        <f t="shared" si="19"/>
        <v>6.6</v>
      </c>
      <c r="AK46" s="135">
        <f t="shared" si="20"/>
        <v>0</v>
      </c>
      <c r="AL46" s="301">
        <f t="shared" si="21"/>
        <v>6.6</v>
      </c>
      <c r="AM46" s="298">
        <v>0.15</v>
      </c>
      <c r="AN46" s="132">
        <f t="shared" si="22"/>
        <v>6.6</v>
      </c>
      <c r="AO46" s="135">
        <f t="shared" si="23"/>
        <v>0</v>
      </c>
      <c r="AP46" s="301">
        <f t="shared" si="24"/>
        <v>6.6</v>
      </c>
      <c r="AQ46" s="298">
        <v>0.3</v>
      </c>
      <c r="AR46" s="132">
        <f t="shared" si="25"/>
        <v>13.2</v>
      </c>
      <c r="AS46" s="135">
        <f t="shared" si="26"/>
        <v>0</v>
      </c>
      <c r="AT46" s="301">
        <f t="shared" si="27"/>
        <v>13.2</v>
      </c>
      <c r="AU46" s="298">
        <v>0.3</v>
      </c>
      <c r="AV46" s="132">
        <f t="shared" si="28"/>
        <v>13.2</v>
      </c>
      <c r="AW46" s="135">
        <f>VLOOKUP($AU$43,$B$22:$S$35,A74,FALSE)</f>
        <v>0</v>
      </c>
      <c r="AX46" s="301">
        <f t="shared" si="29"/>
        <v>13.2</v>
      </c>
      <c r="AY46" s="291">
        <v>0</v>
      </c>
      <c r="AZ46" s="120">
        <v>0</v>
      </c>
      <c r="BA46" s="135">
        <f t="shared" si="30"/>
        <v>0</v>
      </c>
      <c r="BB46" s="301">
        <f t="shared" si="31"/>
        <v>0</v>
      </c>
      <c r="BC46">
        <f t="shared" si="32"/>
        <v>74.800000000000011</v>
      </c>
    </row>
    <row r="47" spans="1:59" ht="15.75" thickBot="1" x14ac:dyDescent="0.3">
      <c r="A47" s="493"/>
      <c r="B47" s="120" t="str">
        <f t="shared" si="0"/>
        <v>DOS</v>
      </c>
      <c r="C47" s="303">
        <v>0</v>
      </c>
      <c r="D47" s="282">
        <f t="shared" si="1"/>
        <v>0</v>
      </c>
      <c r="E47" s="135">
        <v>0</v>
      </c>
      <c r="F47" s="301">
        <f t="shared" si="33"/>
        <v>0</v>
      </c>
      <c r="G47" s="298">
        <v>0</v>
      </c>
      <c r="H47" s="132">
        <f t="shared" si="3"/>
        <v>0</v>
      </c>
      <c r="I47" s="135">
        <v>0</v>
      </c>
      <c r="J47" s="301">
        <f t="shared" si="4"/>
        <v>0</v>
      </c>
      <c r="K47" s="298">
        <v>0.3</v>
      </c>
      <c r="L47" s="132">
        <f t="shared" si="5"/>
        <v>13.2</v>
      </c>
      <c r="M47" s="135">
        <v>0</v>
      </c>
      <c r="N47" s="301">
        <f t="shared" si="6"/>
        <v>13.2</v>
      </c>
      <c r="O47" s="297">
        <v>0.1</v>
      </c>
      <c r="P47" s="132">
        <f t="shared" si="7"/>
        <v>4.4000000000000004</v>
      </c>
      <c r="Q47" s="281">
        <v>0</v>
      </c>
      <c r="R47" s="301">
        <f t="shared" si="8"/>
        <v>4.4000000000000004</v>
      </c>
      <c r="S47" s="298">
        <v>0.2</v>
      </c>
      <c r="T47" s="132">
        <f t="shared" si="9"/>
        <v>8.8000000000000007</v>
      </c>
      <c r="U47" s="135">
        <v>0</v>
      </c>
      <c r="V47" s="301">
        <f t="shared" si="10"/>
        <v>8.8000000000000007</v>
      </c>
      <c r="W47" s="298">
        <v>0.05</v>
      </c>
      <c r="X47" s="132">
        <f t="shared" si="11"/>
        <v>2.2000000000000002</v>
      </c>
      <c r="Y47" s="135">
        <f t="shared" si="12"/>
        <v>0</v>
      </c>
      <c r="Z47" s="301">
        <f t="shared" si="13"/>
        <v>2.2000000000000002</v>
      </c>
      <c r="AA47" s="298">
        <v>0.1</v>
      </c>
      <c r="AB47" s="132">
        <f t="shared" si="14"/>
        <v>4.4000000000000004</v>
      </c>
      <c r="AC47" s="135">
        <f t="shared" si="15"/>
        <v>0</v>
      </c>
      <c r="AD47" s="301">
        <f t="shared" si="16"/>
        <v>4.4000000000000004</v>
      </c>
      <c r="AE47" s="298">
        <v>0</v>
      </c>
      <c r="AF47" s="132">
        <f t="shared" si="17"/>
        <v>0</v>
      </c>
      <c r="AG47" s="135">
        <v>0</v>
      </c>
      <c r="AH47" s="301">
        <f t="shared" si="18"/>
        <v>0</v>
      </c>
      <c r="AI47" s="298">
        <v>0</v>
      </c>
      <c r="AJ47" s="132">
        <f t="shared" si="19"/>
        <v>0</v>
      </c>
      <c r="AK47" s="135">
        <f t="shared" si="20"/>
        <v>0</v>
      </c>
      <c r="AL47" s="301">
        <f t="shared" si="21"/>
        <v>0</v>
      </c>
      <c r="AM47" s="298">
        <v>0</v>
      </c>
      <c r="AN47" s="132">
        <f t="shared" si="22"/>
        <v>0</v>
      </c>
      <c r="AO47" s="135">
        <f t="shared" si="23"/>
        <v>0</v>
      </c>
      <c r="AP47" s="301">
        <f t="shared" si="24"/>
        <v>0</v>
      </c>
      <c r="AQ47" s="298">
        <v>0.1</v>
      </c>
      <c r="AR47" s="132">
        <f t="shared" si="25"/>
        <v>4.4000000000000004</v>
      </c>
      <c r="AS47" s="135">
        <f t="shared" si="26"/>
        <v>0</v>
      </c>
      <c r="AT47" s="301">
        <f t="shared" si="27"/>
        <v>4.4000000000000004</v>
      </c>
      <c r="AU47" s="298">
        <v>0</v>
      </c>
      <c r="AV47" s="132">
        <f t="shared" si="28"/>
        <v>0</v>
      </c>
      <c r="AW47" s="135">
        <f>VLOOKUP($AU$43,$B$22:$S$35,A75,FALSE)</f>
        <v>0</v>
      </c>
      <c r="AX47" s="301">
        <f t="shared" si="29"/>
        <v>0</v>
      </c>
      <c r="AY47" s="291">
        <v>0</v>
      </c>
      <c r="AZ47" s="120">
        <v>0</v>
      </c>
      <c r="BA47" s="135">
        <f t="shared" si="30"/>
        <v>0</v>
      </c>
      <c r="BB47" s="301">
        <f t="shared" si="31"/>
        <v>0</v>
      </c>
      <c r="BC47">
        <f t="shared" si="32"/>
        <v>37.4</v>
      </c>
    </row>
    <row r="48" spans="1:59" ht="15.75" thickBot="1" x14ac:dyDescent="0.3">
      <c r="A48" s="493"/>
      <c r="B48" s="120" t="str">
        <f t="shared" si="0"/>
        <v>IDC</v>
      </c>
      <c r="C48" s="303">
        <v>0.2</v>
      </c>
      <c r="D48" s="282">
        <f t="shared" si="1"/>
        <v>8.8000000000000007</v>
      </c>
      <c r="E48" s="135">
        <v>0</v>
      </c>
      <c r="F48" s="300">
        <f t="shared" si="33"/>
        <v>8.8000000000000007</v>
      </c>
      <c r="G48" s="298">
        <v>0.1</v>
      </c>
      <c r="H48" s="282">
        <f t="shared" si="3"/>
        <v>4.4000000000000004</v>
      </c>
      <c r="I48" s="135">
        <v>0</v>
      </c>
      <c r="J48" s="300">
        <f t="shared" ref="J48:J50" si="34">H48-I48</f>
        <v>4.4000000000000004</v>
      </c>
      <c r="K48" s="297">
        <v>0.2</v>
      </c>
      <c r="L48" s="282">
        <f t="shared" si="5"/>
        <v>8.8000000000000007</v>
      </c>
      <c r="M48" s="135">
        <v>0</v>
      </c>
      <c r="N48" s="300">
        <f t="shared" si="6"/>
        <v>8.8000000000000007</v>
      </c>
      <c r="O48" s="297">
        <v>0</v>
      </c>
      <c r="P48" s="282">
        <f t="shared" si="7"/>
        <v>0</v>
      </c>
      <c r="Q48" s="281">
        <v>0</v>
      </c>
      <c r="R48" s="300">
        <f t="shared" ref="R48:R50" si="35">P48-Q48</f>
        <v>0</v>
      </c>
      <c r="S48" s="297">
        <v>0</v>
      </c>
      <c r="T48" s="282">
        <f t="shared" si="9"/>
        <v>0</v>
      </c>
      <c r="U48" s="135">
        <v>0</v>
      </c>
      <c r="V48" s="300">
        <f t="shared" ref="V48:V50" si="36">T48-U48</f>
        <v>0</v>
      </c>
      <c r="W48" s="297">
        <v>0.05</v>
      </c>
      <c r="X48" s="282">
        <f t="shared" si="11"/>
        <v>2.2000000000000002</v>
      </c>
      <c r="Y48" s="135">
        <f t="shared" si="12"/>
        <v>0</v>
      </c>
      <c r="Z48" s="300">
        <f t="shared" ref="Z48:Z50" si="37">X48-Y48</f>
        <v>2.2000000000000002</v>
      </c>
      <c r="AA48" s="297">
        <v>0.4</v>
      </c>
      <c r="AB48" s="282">
        <f t="shared" si="14"/>
        <v>17.600000000000001</v>
      </c>
      <c r="AC48" s="135">
        <f t="shared" si="15"/>
        <v>0</v>
      </c>
      <c r="AD48" s="300">
        <f t="shared" ref="AD48:AD50" si="38">AB48-AC48</f>
        <v>17.600000000000001</v>
      </c>
      <c r="AE48" s="298">
        <v>0.3</v>
      </c>
      <c r="AF48" s="282">
        <f t="shared" si="17"/>
        <v>13.2</v>
      </c>
      <c r="AG48" s="135">
        <v>0</v>
      </c>
      <c r="AH48" s="300">
        <f t="shared" ref="AH48:AH50" si="39">AF48-AG48</f>
        <v>13.2</v>
      </c>
      <c r="AI48" s="297">
        <v>0</v>
      </c>
      <c r="AJ48" s="282">
        <f t="shared" si="19"/>
        <v>0</v>
      </c>
      <c r="AK48" s="135">
        <f t="shared" si="20"/>
        <v>0</v>
      </c>
      <c r="AL48" s="300">
        <f t="shared" ref="AL48:AL50" si="40">AJ48-AK48</f>
        <v>0</v>
      </c>
      <c r="AM48" s="297">
        <v>0.25</v>
      </c>
      <c r="AN48" s="282">
        <f t="shared" si="22"/>
        <v>11</v>
      </c>
      <c r="AO48" s="135">
        <f t="shared" si="23"/>
        <v>0</v>
      </c>
      <c r="AP48" s="300">
        <f t="shared" ref="AP48:AP50" si="41">AN48-AO48</f>
        <v>11</v>
      </c>
      <c r="AQ48" s="298">
        <v>0.2</v>
      </c>
      <c r="AR48" s="282">
        <f t="shared" si="25"/>
        <v>8.8000000000000007</v>
      </c>
      <c r="AS48" s="135">
        <f t="shared" si="26"/>
        <v>0</v>
      </c>
      <c r="AT48" s="300">
        <f t="shared" ref="AT48:AT50" si="42">AR48-AS48</f>
        <v>8.8000000000000007</v>
      </c>
      <c r="AU48" s="298">
        <v>0</v>
      </c>
      <c r="AV48" s="282">
        <f t="shared" si="28"/>
        <v>0</v>
      </c>
      <c r="AW48" s="135">
        <f>VLOOKUP($AU$43,$B$22:$S$35,A76,FALSE)</f>
        <v>0</v>
      </c>
      <c r="AX48" s="300">
        <f t="shared" ref="AX48:AX50" si="43">AV48-AW48</f>
        <v>0</v>
      </c>
      <c r="AY48" s="290">
        <v>0</v>
      </c>
      <c r="AZ48" s="293">
        <v>0</v>
      </c>
      <c r="BA48" s="135">
        <f t="shared" si="30"/>
        <v>0</v>
      </c>
      <c r="BB48" s="300">
        <f t="shared" ref="BB48:BB50" si="44">AZ48-BA48</f>
        <v>0</v>
      </c>
      <c r="BC48">
        <f t="shared" si="32"/>
        <v>74.8</v>
      </c>
    </row>
    <row r="49" spans="1:56" ht="15.75" thickBot="1" x14ac:dyDescent="0.3">
      <c r="A49" s="493"/>
      <c r="B49" s="120" t="str">
        <f t="shared" si="0"/>
        <v>ADJ</v>
      </c>
      <c r="C49" s="303">
        <v>0</v>
      </c>
      <c r="D49" s="282">
        <f t="shared" si="1"/>
        <v>0</v>
      </c>
      <c r="E49" s="135">
        <v>0</v>
      </c>
      <c r="F49" s="300">
        <f t="shared" si="33"/>
        <v>0</v>
      </c>
      <c r="G49" s="298">
        <v>0.1</v>
      </c>
      <c r="H49" s="282">
        <f t="shared" si="3"/>
        <v>4.4000000000000004</v>
      </c>
      <c r="I49" s="135">
        <v>0</v>
      </c>
      <c r="J49" s="300">
        <f t="shared" si="34"/>
        <v>4.4000000000000004</v>
      </c>
      <c r="K49" s="297">
        <v>0</v>
      </c>
      <c r="L49" s="282">
        <f t="shared" si="5"/>
        <v>0</v>
      </c>
      <c r="M49" s="135">
        <v>0</v>
      </c>
      <c r="N49" s="300">
        <f t="shared" si="6"/>
        <v>0</v>
      </c>
      <c r="O49" s="297">
        <v>0</v>
      </c>
      <c r="P49" s="282">
        <f t="shared" si="7"/>
        <v>0</v>
      </c>
      <c r="Q49" s="281">
        <v>0</v>
      </c>
      <c r="R49" s="300">
        <f t="shared" si="35"/>
        <v>0</v>
      </c>
      <c r="S49" s="297">
        <v>0</v>
      </c>
      <c r="T49" s="282">
        <f t="shared" si="9"/>
        <v>0</v>
      </c>
      <c r="U49" s="135">
        <v>0</v>
      </c>
      <c r="V49" s="300">
        <f t="shared" si="36"/>
        <v>0</v>
      </c>
      <c r="W49" s="297">
        <v>0</v>
      </c>
      <c r="X49" s="282">
        <f t="shared" si="11"/>
        <v>0</v>
      </c>
      <c r="Y49" s="135">
        <f t="shared" si="12"/>
        <v>0</v>
      </c>
      <c r="Z49" s="300">
        <f t="shared" si="37"/>
        <v>0</v>
      </c>
      <c r="AA49" s="297">
        <v>0</v>
      </c>
      <c r="AB49" s="282">
        <f t="shared" si="14"/>
        <v>0</v>
      </c>
      <c r="AC49" s="135">
        <f t="shared" si="15"/>
        <v>0</v>
      </c>
      <c r="AD49" s="300">
        <f t="shared" si="38"/>
        <v>0</v>
      </c>
      <c r="AE49" s="298">
        <v>0.05</v>
      </c>
      <c r="AF49" s="282">
        <f t="shared" si="17"/>
        <v>2.2000000000000002</v>
      </c>
      <c r="AG49" s="135">
        <v>0</v>
      </c>
      <c r="AH49" s="300">
        <f t="shared" si="39"/>
        <v>2.2000000000000002</v>
      </c>
      <c r="AI49" s="297">
        <v>0</v>
      </c>
      <c r="AJ49" s="282">
        <f t="shared" si="19"/>
        <v>0</v>
      </c>
      <c r="AK49" s="135">
        <f t="shared" si="20"/>
        <v>0</v>
      </c>
      <c r="AL49" s="300">
        <f t="shared" si="40"/>
        <v>0</v>
      </c>
      <c r="AM49" s="297">
        <v>0.1</v>
      </c>
      <c r="AN49" s="282">
        <f t="shared" si="22"/>
        <v>4.4000000000000004</v>
      </c>
      <c r="AO49" s="135">
        <f t="shared" si="23"/>
        <v>0</v>
      </c>
      <c r="AP49" s="300">
        <f t="shared" si="41"/>
        <v>4.4000000000000004</v>
      </c>
      <c r="AQ49" s="298">
        <v>0.2</v>
      </c>
      <c r="AR49" s="282">
        <f t="shared" si="25"/>
        <v>8.8000000000000007</v>
      </c>
      <c r="AS49" s="135">
        <f t="shared" si="26"/>
        <v>0</v>
      </c>
      <c r="AT49" s="300">
        <f t="shared" si="42"/>
        <v>8.8000000000000007</v>
      </c>
      <c r="AU49" s="298">
        <v>0.1</v>
      </c>
      <c r="AV49" s="282">
        <f t="shared" si="28"/>
        <v>4.4000000000000004</v>
      </c>
      <c r="AW49" s="135">
        <v>4</v>
      </c>
      <c r="AX49" s="300">
        <f t="shared" si="43"/>
        <v>0.40000000000000036</v>
      </c>
      <c r="AY49" s="290">
        <v>0</v>
      </c>
      <c r="AZ49" s="293">
        <v>0</v>
      </c>
      <c r="BA49" s="135">
        <f t="shared" si="30"/>
        <v>0</v>
      </c>
      <c r="BB49" s="300">
        <f t="shared" si="44"/>
        <v>0</v>
      </c>
      <c r="BC49">
        <f t="shared" si="32"/>
        <v>20.200000000000003</v>
      </c>
    </row>
    <row r="50" spans="1:56" ht="15.75" thickBot="1" x14ac:dyDescent="0.3">
      <c r="A50" s="493"/>
      <c r="B50" s="120" t="str">
        <f t="shared" si="0"/>
        <v>Databricks Optimization</v>
      </c>
      <c r="C50" s="303">
        <v>0</v>
      </c>
      <c r="D50" s="282">
        <f t="shared" si="1"/>
        <v>0</v>
      </c>
      <c r="E50" s="135">
        <v>0</v>
      </c>
      <c r="F50" s="300">
        <f t="shared" si="33"/>
        <v>0</v>
      </c>
      <c r="G50" s="298">
        <v>0</v>
      </c>
      <c r="H50" s="282">
        <f t="shared" si="3"/>
        <v>0</v>
      </c>
      <c r="I50" s="135">
        <v>0</v>
      </c>
      <c r="J50" s="300">
        <f t="shared" si="34"/>
        <v>0</v>
      </c>
      <c r="K50" s="297">
        <v>0</v>
      </c>
      <c r="L50" s="282">
        <f t="shared" si="5"/>
        <v>0</v>
      </c>
      <c r="M50" s="135">
        <v>0</v>
      </c>
      <c r="N50" s="300">
        <f t="shared" si="6"/>
        <v>0</v>
      </c>
      <c r="O50" s="297">
        <v>0.1</v>
      </c>
      <c r="P50" s="282">
        <f t="shared" si="7"/>
        <v>4.4000000000000004</v>
      </c>
      <c r="Q50" s="281">
        <v>0</v>
      </c>
      <c r="R50" s="300">
        <f t="shared" si="35"/>
        <v>4.4000000000000004</v>
      </c>
      <c r="S50" s="297">
        <v>0</v>
      </c>
      <c r="T50" s="282">
        <f t="shared" si="9"/>
        <v>0</v>
      </c>
      <c r="U50" s="135">
        <v>0</v>
      </c>
      <c r="V50" s="300">
        <f t="shared" si="36"/>
        <v>0</v>
      </c>
      <c r="W50" s="297">
        <v>0</v>
      </c>
      <c r="X50" s="282">
        <f t="shared" si="11"/>
        <v>0</v>
      </c>
      <c r="Y50" s="135">
        <f t="shared" si="12"/>
        <v>0</v>
      </c>
      <c r="Z50" s="300">
        <f t="shared" si="37"/>
        <v>0</v>
      </c>
      <c r="AA50" s="297">
        <v>0</v>
      </c>
      <c r="AB50" s="282">
        <f t="shared" si="14"/>
        <v>0</v>
      </c>
      <c r="AC50" s="135">
        <f t="shared" si="15"/>
        <v>0</v>
      </c>
      <c r="AD50" s="300">
        <f t="shared" si="38"/>
        <v>0</v>
      </c>
      <c r="AE50" s="297">
        <v>0</v>
      </c>
      <c r="AF50" s="282">
        <f t="shared" si="17"/>
        <v>0</v>
      </c>
      <c r="AG50" s="135">
        <v>0</v>
      </c>
      <c r="AH50" s="300">
        <f t="shared" si="39"/>
        <v>0</v>
      </c>
      <c r="AI50" s="297">
        <v>0.5</v>
      </c>
      <c r="AJ50" s="282">
        <f t="shared" si="19"/>
        <v>22</v>
      </c>
      <c r="AK50" s="135">
        <f t="shared" si="20"/>
        <v>0</v>
      </c>
      <c r="AL50" s="300">
        <f t="shared" si="40"/>
        <v>22</v>
      </c>
      <c r="AM50" s="297">
        <v>0</v>
      </c>
      <c r="AN50" s="282">
        <f t="shared" si="22"/>
        <v>0</v>
      </c>
      <c r="AO50" s="135">
        <f t="shared" si="23"/>
        <v>0</v>
      </c>
      <c r="AP50" s="300">
        <f t="shared" si="41"/>
        <v>0</v>
      </c>
      <c r="AQ50" s="298">
        <v>0</v>
      </c>
      <c r="AR50" s="282">
        <f t="shared" si="25"/>
        <v>0</v>
      </c>
      <c r="AS50" s="135">
        <f t="shared" si="26"/>
        <v>0</v>
      </c>
      <c r="AT50" s="300">
        <f t="shared" si="42"/>
        <v>0</v>
      </c>
      <c r="AU50" s="298">
        <v>0</v>
      </c>
      <c r="AV50" s="282">
        <f t="shared" si="28"/>
        <v>0</v>
      </c>
      <c r="AW50" s="135">
        <f>VLOOKUP($AU$43,$B$22:$S$35,A78,FALSE)</f>
        <v>0</v>
      </c>
      <c r="AX50" s="300">
        <f t="shared" si="43"/>
        <v>0</v>
      </c>
      <c r="AY50" s="290">
        <v>0</v>
      </c>
      <c r="AZ50" s="293">
        <v>0</v>
      </c>
      <c r="BA50" s="135">
        <f t="shared" si="30"/>
        <v>0</v>
      </c>
      <c r="BB50" s="300">
        <f t="shared" si="44"/>
        <v>0</v>
      </c>
      <c r="BC50">
        <f t="shared" si="32"/>
        <v>26.4</v>
      </c>
    </row>
    <row r="51" spans="1:56" ht="45.75" thickBot="1" x14ac:dyDescent="0.3">
      <c r="A51" s="493"/>
      <c r="B51" s="120" t="str">
        <f t="shared" si="0"/>
        <v>IDC2</v>
      </c>
      <c r="C51" s="298">
        <v>0</v>
      </c>
      <c r="D51" s="282">
        <f t="shared" si="1"/>
        <v>0</v>
      </c>
      <c r="E51" s="135">
        <v>0</v>
      </c>
      <c r="F51" s="301">
        <f>D51-E51</f>
        <v>0</v>
      </c>
      <c r="G51" s="298">
        <v>0</v>
      </c>
      <c r="H51" s="132">
        <f t="shared" si="3"/>
        <v>0</v>
      </c>
      <c r="I51" s="135">
        <v>0</v>
      </c>
      <c r="J51" s="301">
        <f t="shared" ref="J51:J59" si="45">H51-I51</f>
        <v>0</v>
      </c>
      <c r="K51" s="298">
        <v>0</v>
      </c>
      <c r="L51" s="132">
        <f t="shared" si="5"/>
        <v>0</v>
      </c>
      <c r="M51" s="135">
        <v>0</v>
      </c>
      <c r="N51" s="301">
        <f t="shared" si="6"/>
        <v>0</v>
      </c>
      <c r="O51" s="298">
        <v>0</v>
      </c>
      <c r="P51" s="132">
        <f t="shared" si="7"/>
        <v>0</v>
      </c>
      <c r="Q51" s="281">
        <v>0</v>
      </c>
      <c r="R51" s="301">
        <f t="shared" ref="R51:R59" si="46">P51-Q51</f>
        <v>0</v>
      </c>
      <c r="S51" s="298">
        <v>0</v>
      </c>
      <c r="T51" s="132">
        <f t="shared" si="9"/>
        <v>0</v>
      </c>
      <c r="U51" s="135">
        <v>0</v>
      </c>
      <c r="V51" s="301">
        <f t="shared" ref="V51:V59" si="47">T51-U51</f>
        <v>0</v>
      </c>
      <c r="W51" s="298">
        <v>0</v>
      </c>
      <c r="X51" s="132">
        <f t="shared" si="11"/>
        <v>0</v>
      </c>
      <c r="Y51" s="135">
        <f t="shared" ref="Y51:Y60" si="48">VLOOKUP($W$43,$B$22:$S$35,A80,FALSE)</f>
        <v>0</v>
      </c>
      <c r="Z51" s="301">
        <f t="shared" ref="Z51:Z59" si="49">X51-Y51</f>
        <v>0</v>
      </c>
      <c r="AA51" s="298">
        <v>0</v>
      </c>
      <c r="AB51" s="132">
        <f t="shared" si="14"/>
        <v>0</v>
      </c>
      <c r="AC51" s="135">
        <f t="shared" si="15"/>
        <v>0</v>
      </c>
      <c r="AD51" s="301">
        <f t="shared" ref="AD51:AD59" si="50">AB51-AC51</f>
        <v>0</v>
      </c>
      <c r="AE51" s="298">
        <v>0.05</v>
      </c>
      <c r="AF51" s="132">
        <f t="shared" si="17"/>
        <v>2.2000000000000002</v>
      </c>
      <c r="AG51" s="135">
        <v>0</v>
      </c>
      <c r="AH51" s="301">
        <f t="shared" ref="AH51:AH59" si="51">AF51-AG51</f>
        <v>2.2000000000000002</v>
      </c>
      <c r="AI51" s="298">
        <v>0</v>
      </c>
      <c r="AJ51" s="132">
        <f t="shared" si="19"/>
        <v>0</v>
      </c>
      <c r="AK51" s="135">
        <f t="shared" si="20"/>
        <v>0</v>
      </c>
      <c r="AL51" s="301">
        <f t="shared" ref="AL51:AL59" si="52">AJ51-AK51</f>
        <v>0</v>
      </c>
      <c r="AM51" s="298">
        <v>0.05</v>
      </c>
      <c r="AN51" s="132">
        <f t="shared" si="22"/>
        <v>2.2000000000000002</v>
      </c>
      <c r="AO51" s="135">
        <f t="shared" si="23"/>
        <v>0</v>
      </c>
      <c r="AP51" s="301">
        <f t="shared" ref="AP51:AP59" si="53">AN51-AO51</f>
        <v>2.2000000000000002</v>
      </c>
      <c r="AQ51" s="298">
        <v>0</v>
      </c>
      <c r="AR51" s="132">
        <f t="shared" si="25"/>
        <v>0</v>
      </c>
      <c r="AS51" s="135">
        <f t="shared" si="26"/>
        <v>0</v>
      </c>
      <c r="AT51" s="301">
        <f t="shared" ref="AT51:AT59" si="54">AR51-AS51</f>
        <v>0</v>
      </c>
      <c r="AU51" s="298">
        <v>0</v>
      </c>
      <c r="AV51" s="132">
        <f t="shared" si="28"/>
        <v>0</v>
      </c>
      <c r="AW51" s="135">
        <v>0</v>
      </c>
      <c r="AX51" s="301">
        <f t="shared" ref="AX51:AX59" si="55">AV51-AW51</f>
        <v>0</v>
      </c>
      <c r="AY51" s="291">
        <v>0</v>
      </c>
      <c r="AZ51" s="120">
        <v>0</v>
      </c>
      <c r="BA51" s="135">
        <f t="shared" ref="BA51:BA60" si="56">VLOOKUP($AY$43,$B$22:$S$35,A80,FALSE)</f>
        <v>0</v>
      </c>
      <c r="BB51" s="301">
        <f t="shared" ref="BB51:BB59" si="57">AZ51-BA51</f>
        <v>0</v>
      </c>
      <c r="BC51">
        <f t="shared" si="32"/>
        <v>4.4000000000000004</v>
      </c>
      <c r="BD51" s="58" t="s">
        <v>413</v>
      </c>
    </row>
    <row r="52" spans="1:56" ht="15.75" thickBot="1" x14ac:dyDescent="0.3">
      <c r="A52" s="493"/>
      <c r="B52" s="120" t="str">
        <f t="shared" si="0"/>
        <v>GDV</v>
      </c>
      <c r="C52" s="298">
        <v>0</v>
      </c>
      <c r="D52" s="282">
        <f t="shared" si="1"/>
        <v>0</v>
      </c>
      <c r="E52" s="135">
        <v>0</v>
      </c>
      <c r="F52" s="301">
        <f t="shared" ref="F52:F59" si="58">D52-E52</f>
        <v>0</v>
      </c>
      <c r="G52" s="298">
        <v>0.3</v>
      </c>
      <c r="H52" s="132">
        <f t="shared" si="3"/>
        <v>13.2</v>
      </c>
      <c r="I52" s="135">
        <v>0</v>
      </c>
      <c r="J52" s="301">
        <f t="shared" si="45"/>
        <v>13.2</v>
      </c>
      <c r="K52" s="298">
        <v>0</v>
      </c>
      <c r="L52" s="132">
        <f t="shared" si="5"/>
        <v>0</v>
      </c>
      <c r="M52" s="135">
        <v>0</v>
      </c>
      <c r="N52" s="301">
        <f t="shared" si="6"/>
        <v>0</v>
      </c>
      <c r="O52" s="298">
        <v>0.1</v>
      </c>
      <c r="P52" s="132">
        <f t="shared" si="7"/>
        <v>4.4000000000000004</v>
      </c>
      <c r="Q52" s="281">
        <v>0</v>
      </c>
      <c r="R52" s="301">
        <f t="shared" si="46"/>
        <v>4.4000000000000004</v>
      </c>
      <c r="S52" s="298">
        <v>0.5</v>
      </c>
      <c r="T52" s="132">
        <f t="shared" si="9"/>
        <v>22</v>
      </c>
      <c r="U52" s="135">
        <v>0</v>
      </c>
      <c r="V52" s="301">
        <f t="shared" si="47"/>
        <v>22</v>
      </c>
      <c r="W52" s="298">
        <v>0</v>
      </c>
      <c r="X52" s="132">
        <f t="shared" si="11"/>
        <v>0</v>
      </c>
      <c r="Y52" s="135">
        <f t="shared" si="48"/>
        <v>0</v>
      </c>
      <c r="Z52" s="301">
        <f t="shared" si="49"/>
        <v>0</v>
      </c>
      <c r="AA52" s="298">
        <v>0</v>
      </c>
      <c r="AB52" s="132">
        <f t="shared" si="14"/>
        <v>0</v>
      </c>
      <c r="AC52" s="135">
        <f t="shared" si="15"/>
        <v>0</v>
      </c>
      <c r="AD52" s="301">
        <f t="shared" si="50"/>
        <v>0</v>
      </c>
      <c r="AE52" s="298">
        <v>0.4</v>
      </c>
      <c r="AF52" s="132">
        <f t="shared" si="17"/>
        <v>17.600000000000001</v>
      </c>
      <c r="AG52" s="135">
        <v>0</v>
      </c>
      <c r="AH52" s="301">
        <f t="shared" si="51"/>
        <v>17.600000000000001</v>
      </c>
      <c r="AI52" s="298">
        <v>0</v>
      </c>
      <c r="AJ52" s="132">
        <f t="shared" si="19"/>
        <v>0</v>
      </c>
      <c r="AK52" s="135">
        <f t="shared" si="20"/>
        <v>0</v>
      </c>
      <c r="AL52" s="301">
        <f t="shared" si="52"/>
        <v>0</v>
      </c>
      <c r="AM52" s="298">
        <v>0.25</v>
      </c>
      <c r="AN52" s="132">
        <f t="shared" si="22"/>
        <v>11</v>
      </c>
      <c r="AO52" s="135">
        <f t="shared" si="23"/>
        <v>0</v>
      </c>
      <c r="AP52" s="301">
        <f t="shared" si="53"/>
        <v>11</v>
      </c>
      <c r="AQ52" s="298">
        <v>0.2</v>
      </c>
      <c r="AR52" s="132">
        <f t="shared" si="25"/>
        <v>8.8000000000000007</v>
      </c>
      <c r="AS52" s="135">
        <f t="shared" si="26"/>
        <v>0</v>
      </c>
      <c r="AT52" s="301">
        <f t="shared" si="54"/>
        <v>8.8000000000000007</v>
      </c>
      <c r="AU52" s="298">
        <v>0</v>
      </c>
      <c r="AV52" s="132">
        <f t="shared" si="28"/>
        <v>0</v>
      </c>
      <c r="AW52" s="135">
        <v>0</v>
      </c>
      <c r="AX52" s="301">
        <f t="shared" si="55"/>
        <v>0</v>
      </c>
      <c r="AY52" s="291">
        <v>0</v>
      </c>
      <c r="AZ52" s="120">
        <v>0</v>
      </c>
      <c r="BA52" s="135">
        <f t="shared" si="56"/>
        <v>0</v>
      </c>
      <c r="BB52" s="301">
        <f t="shared" si="57"/>
        <v>0</v>
      </c>
      <c r="BC52">
        <f t="shared" si="32"/>
        <v>77</v>
      </c>
    </row>
    <row r="53" spans="1:56" ht="15.75" thickBot="1" x14ac:dyDescent="0.3">
      <c r="A53" s="493"/>
      <c r="B53" s="120" t="str">
        <f t="shared" si="0"/>
        <v>DOS RESI</v>
      </c>
      <c r="C53" s="298">
        <v>0</v>
      </c>
      <c r="D53" s="282">
        <f t="shared" si="1"/>
        <v>0</v>
      </c>
      <c r="E53" s="135">
        <v>0</v>
      </c>
      <c r="F53" s="301">
        <f t="shared" si="58"/>
        <v>0</v>
      </c>
      <c r="G53" s="298">
        <v>0</v>
      </c>
      <c r="H53" s="132">
        <f t="shared" si="3"/>
        <v>0</v>
      </c>
      <c r="I53" s="135">
        <v>0</v>
      </c>
      <c r="J53" s="301">
        <f t="shared" si="45"/>
        <v>0</v>
      </c>
      <c r="K53" s="298">
        <v>0.05</v>
      </c>
      <c r="L53" s="132">
        <f t="shared" si="5"/>
        <v>2.2000000000000002</v>
      </c>
      <c r="M53" s="135">
        <v>0</v>
      </c>
      <c r="N53" s="301">
        <f t="shared" si="6"/>
        <v>2.2000000000000002</v>
      </c>
      <c r="O53" s="298">
        <v>0.05</v>
      </c>
      <c r="P53" s="132">
        <f t="shared" si="7"/>
        <v>2.2000000000000002</v>
      </c>
      <c r="Q53" s="281">
        <v>0</v>
      </c>
      <c r="R53" s="301">
        <f t="shared" si="46"/>
        <v>2.2000000000000002</v>
      </c>
      <c r="S53" s="298">
        <v>0</v>
      </c>
      <c r="T53" s="132">
        <f t="shared" si="9"/>
        <v>0</v>
      </c>
      <c r="U53" s="135">
        <v>0</v>
      </c>
      <c r="V53" s="301">
        <f t="shared" si="47"/>
        <v>0</v>
      </c>
      <c r="W53" s="298">
        <v>0</v>
      </c>
      <c r="X53" s="132">
        <f t="shared" si="11"/>
        <v>0</v>
      </c>
      <c r="Y53" s="135">
        <f t="shared" si="48"/>
        <v>0</v>
      </c>
      <c r="Z53" s="301">
        <f t="shared" si="49"/>
        <v>0</v>
      </c>
      <c r="AA53" s="298">
        <v>0.1</v>
      </c>
      <c r="AB53" s="132">
        <f t="shared" si="14"/>
        <v>4.4000000000000004</v>
      </c>
      <c r="AC53" s="135">
        <f t="shared" si="15"/>
        <v>0</v>
      </c>
      <c r="AD53" s="301">
        <f t="shared" si="50"/>
        <v>4.4000000000000004</v>
      </c>
      <c r="AE53" s="298">
        <v>0</v>
      </c>
      <c r="AF53" s="132">
        <f t="shared" si="17"/>
        <v>0</v>
      </c>
      <c r="AG53" s="135">
        <v>0</v>
      </c>
      <c r="AH53" s="301">
        <f t="shared" si="51"/>
        <v>0</v>
      </c>
      <c r="AI53" s="298">
        <v>0.05</v>
      </c>
      <c r="AJ53" s="132">
        <f t="shared" si="19"/>
        <v>2.2000000000000002</v>
      </c>
      <c r="AK53" s="135">
        <f t="shared" si="20"/>
        <v>0</v>
      </c>
      <c r="AL53" s="301">
        <f t="shared" si="52"/>
        <v>2.2000000000000002</v>
      </c>
      <c r="AM53" s="298">
        <v>0</v>
      </c>
      <c r="AN53" s="132">
        <f t="shared" si="22"/>
        <v>0</v>
      </c>
      <c r="AO53" s="135">
        <f t="shared" si="23"/>
        <v>0</v>
      </c>
      <c r="AP53" s="301">
        <f t="shared" si="53"/>
        <v>0</v>
      </c>
      <c r="AQ53" s="298">
        <v>0</v>
      </c>
      <c r="AR53" s="132">
        <f t="shared" si="25"/>
        <v>0</v>
      </c>
      <c r="AS53" s="135">
        <f t="shared" si="26"/>
        <v>0</v>
      </c>
      <c r="AT53" s="301">
        <f t="shared" si="54"/>
        <v>0</v>
      </c>
      <c r="AU53" s="298">
        <v>0.2</v>
      </c>
      <c r="AV53" s="132">
        <f t="shared" si="28"/>
        <v>8.8000000000000007</v>
      </c>
      <c r="AW53" s="135">
        <v>21</v>
      </c>
      <c r="AX53" s="301">
        <f t="shared" si="55"/>
        <v>-12.2</v>
      </c>
      <c r="AY53" s="291">
        <v>0</v>
      </c>
      <c r="AZ53" s="120">
        <v>0</v>
      </c>
      <c r="BA53" s="135">
        <f t="shared" si="56"/>
        <v>0</v>
      </c>
      <c r="BB53" s="301">
        <f t="shared" si="57"/>
        <v>0</v>
      </c>
      <c r="BC53">
        <f t="shared" si="32"/>
        <v>-1.1999999999999993</v>
      </c>
    </row>
    <row r="54" spans="1:56" ht="15.75" thickBot="1" x14ac:dyDescent="0.3">
      <c r="A54" s="493"/>
      <c r="B54" s="120" t="str">
        <f t="shared" si="0"/>
        <v>DOS QA Automation</v>
      </c>
      <c r="C54" s="298">
        <v>0</v>
      </c>
      <c r="D54" s="282">
        <f t="shared" si="1"/>
        <v>0</v>
      </c>
      <c r="E54" s="135">
        <v>0</v>
      </c>
      <c r="F54" s="301">
        <f t="shared" si="58"/>
        <v>0</v>
      </c>
      <c r="G54" s="298">
        <v>0</v>
      </c>
      <c r="H54" s="132">
        <f t="shared" si="3"/>
        <v>0</v>
      </c>
      <c r="I54" s="135">
        <v>0</v>
      </c>
      <c r="J54" s="301">
        <f t="shared" si="45"/>
        <v>0</v>
      </c>
      <c r="K54" s="298">
        <v>0</v>
      </c>
      <c r="L54" s="132">
        <f t="shared" si="5"/>
        <v>0</v>
      </c>
      <c r="M54" s="135">
        <v>0</v>
      </c>
      <c r="N54" s="301">
        <f t="shared" si="6"/>
        <v>0</v>
      </c>
      <c r="O54" s="298">
        <v>0</v>
      </c>
      <c r="P54" s="132">
        <f t="shared" si="7"/>
        <v>0</v>
      </c>
      <c r="Q54" s="281">
        <v>0</v>
      </c>
      <c r="R54" s="301">
        <f t="shared" si="46"/>
        <v>0</v>
      </c>
      <c r="S54" s="298">
        <v>0</v>
      </c>
      <c r="T54" s="132">
        <f t="shared" si="9"/>
        <v>0</v>
      </c>
      <c r="U54" s="135">
        <v>0</v>
      </c>
      <c r="V54" s="301">
        <f t="shared" si="47"/>
        <v>0</v>
      </c>
      <c r="W54" s="298">
        <v>0</v>
      </c>
      <c r="X54" s="132">
        <f t="shared" si="11"/>
        <v>0</v>
      </c>
      <c r="Y54" s="135">
        <f t="shared" si="48"/>
        <v>0</v>
      </c>
      <c r="Z54" s="301">
        <f t="shared" si="49"/>
        <v>0</v>
      </c>
      <c r="AA54" s="298">
        <v>0</v>
      </c>
      <c r="AB54" s="132">
        <f t="shared" si="14"/>
        <v>0</v>
      </c>
      <c r="AC54" s="135">
        <f t="shared" si="15"/>
        <v>0</v>
      </c>
      <c r="AD54" s="301">
        <f t="shared" si="50"/>
        <v>0</v>
      </c>
      <c r="AE54" s="298">
        <v>0</v>
      </c>
      <c r="AF54" s="132">
        <f t="shared" si="17"/>
        <v>0</v>
      </c>
      <c r="AG54" s="135">
        <v>0</v>
      </c>
      <c r="AH54" s="301">
        <f t="shared" si="51"/>
        <v>0</v>
      </c>
      <c r="AI54" s="298">
        <v>0</v>
      </c>
      <c r="AJ54" s="132">
        <f t="shared" si="19"/>
        <v>0</v>
      </c>
      <c r="AK54" s="135">
        <f t="shared" si="20"/>
        <v>0</v>
      </c>
      <c r="AL54" s="301">
        <f t="shared" si="52"/>
        <v>0</v>
      </c>
      <c r="AM54" s="298">
        <v>0</v>
      </c>
      <c r="AN54" s="132">
        <f t="shared" si="22"/>
        <v>0</v>
      </c>
      <c r="AO54" s="135">
        <f t="shared" si="23"/>
        <v>0</v>
      </c>
      <c r="AP54" s="301">
        <f t="shared" si="53"/>
        <v>0</v>
      </c>
      <c r="AQ54" s="298">
        <v>0</v>
      </c>
      <c r="AR54" s="132">
        <f t="shared" si="25"/>
        <v>0</v>
      </c>
      <c r="AS54" s="135">
        <f t="shared" si="26"/>
        <v>0</v>
      </c>
      <c r="AT54" s="301">
        <f t="shared" si="54"/>
        <v>0</v>
      </c>
      <c r="AU54" s="298">
        <v>0</v>
      </c>
      <c r="AV54" s="132">
        <f t="shared" si="28"/>
        <v>0</v>
      </c>
      <c r="AW54" s="135">
        <v>0</v>
      </c>
      <c r="AX54" s="301">
        <f t="shared" si="55"/>
        <v>0</v>
      </c>
      <c r="AY54" s="291">
        <v>0</v>
      </c>
      <c r="AZ54" s="120">
        <v>0</v>
      </c>
      <c r="BA54" s="135">
        <f t="shared" si="56"/>
        <v>0</v>
      </c>
      <c r="BB54" s="301">
        <f t="shared" si="57"/>
        <v>0</v>
      </c>
      <c r="BC54">
        <f t="shared" si="32"/>
        <v>0</v>
      </c>
      <c r="BD54" s="104" t="s">
        <v>414</v>
      </c>
    </row>
    <row r="55" spans="1:56" ht="15.75" thickBot="1" x14ac:dyDescent="0.3">
      <c r="A55" s="493"/>
      <c r="B55" s="120" t="str">
        <f t="shared" si="0"/>
        <v>GRID QA Automation</v>
      </c>
      <c r="C55" s="298">
        <v>0</v>
      </c>
      <c r="D55" s="282">
        <f t="shared" si="1"/>
        <v>0</v>
      </c>
      <c r="E55" s="135">
        <v>0</v>
      </c>
      <c r="F55" s="301">
        <f t="shared" si="58"/>
        <v>0</v>
      </c>
      <c r="G55" s="298">
        <v>0</v>
      </c>
      <c r="H55" s="132">
        <f t="shared" si="3"/>
        <v>0</v>
      </c>
      <c r="I55" s="135">
        <v>0</v>
      </c>
      <c r="J55" s="301">
        <f t="shared" si="45"/>
        <v>0</v>
      </c>
      <c r="K55" s="298">
        <v>0</v>
      </c>
      <c r="L55" s="132">
        <f t="shared" si="5"/>
        <v>0</v>
      </c>
      <c r="M55" s="135">
        <v>0</v>
      </c>
      <c r="N55" s="301">
        <f t="shared" si="6"/>
        <v>0</v>
      </c>
      <c r="O55" s="298">
        <v>0.1</v>
      </c>
      <c r="P55" s="132">
        <f t="shared" si="7"/>
        <v>4.4000000000000004</v>
      </c>
      <c r="Q55" s="281">
        <v>0</v>
      </c>
      <c r="R55" s="301">
        <f t="shared" si="46"/>
        <v>4.4000000000000004</v>
      </c>
      <c r="S55" s="298">
        <v>0</v>
      </c>
      <c r="T55" s="132">
        <f t="shared" si="9"/>
        <v>0</v>
      </c>
      <c r="U55" s="135">
        <v>0</v>
      </c>
      <c r="V55" s="301">
        <f t="shared" si="47"/>
        <v>0</v>
      </c>
      <c r="W55" s="298">
        <v>0</v>
      </c>
      <c r="X55" s="132">
        <f t="shared" si="11"/>
        <v>0</v>
      </c>
      <c r="Y55" s="135">
        <f t="shared" si="48"/>
        <v>0</v>
      </c>
      <c r="Z55" s="301">
        <f t="shared" si="49"/>
        <v>0</v>
      </c>
      <c r="AA55" s="298">
        <v>0</v>
      </c>
      <c r="AB55" s="132">
        <f t="shared" si="14"/>
        <v>0</v>
      </c>
      <c r="AC55" s="135">
        <f t="shared" si="15"/>
        <v>0</v>
      </c>
      <c r="AD55" s="301">
        <f t="shared" si="50"/>
        <v>0</v>
      </c>
      <c r="AE55" s="298">
        <v>0</v>
      </c>
      <c r="AF55" s="132">
        <f t="shared" si="17"/>
        <v>0</v>
      </c>
      <c r="AG55" s="135">
        <v>0</v>
      </c>
      <c r="AH55" s="301">
        <f t="shared" si="51"/>
        <v>0</v>
      </c>
      <c r="AI55" s="298">
        <v>0</v>
      </c>
      <c r="AJ55" s="132">
        <f t="shared" si="19"/>
        <v>0</v>
      </c>
      <c r="AK55" s="135">
        <f t="shared" si="20"/>
        <v>0</v>
      </c>
      <c r="AL55" s="301">
        <f t="shared" si="52"/>
        <v>0</v>
      </c>
      <c r="AM55" s="298">
        <v>0</v>
      </c>
      <c r="AN55" s="132">
        <f t="shared" si="22"/>
        <v>0</v>
      </c>
      <c r="AO55" s="135">
        <f t="shared" si="23"/>
        <v>0</v>
      </c>
      <c r="AP55" s="301">
        <f t="shared" si="53"/>
        <v>0</v>
      </c>
      <c r="AQ55" s="298">
        <v>0</v>
      </c>
      <c r="AR55" s="132">
        <f t="shared" si="25"/>
        <v>0</v>
      </c>
      <c r="AS55" s="135">
        <f t="shared" si="26"/>
        <v>0</v>
      </c>
      <c r="AT55" s="301">
        <f t="shared" si="54"/>
        <v>0</v>
      </c>
      <c r="AU55" s="298">
        <v>0</v>
      </c>
      <c r="AV55" s="132">
        <f t="shared" si="28"/>
        <v>0</v>
      </c>
      <c r="AW55" s="135">
        <v>0</v>
      </c>
      <c r="AX55" s="301">
        <f t="shared" si="55"/>
        <v>0</v>
      </c>
      <c r="AY55" s="291">
        <v>0</v>
      </c>
      <c r="AZ55" s="120">
        <v>0</v>
      </c>
      <c r="BA55" s="135">
        <f t="shared" si="56"/>
        <v>0</v>
      </c>
      <c r="BB55" s="301">
        <f t="shared" si="57"/>
        <v>0</v>
      </c>
      <c r="BC55">
        <f t="shared" si="32"/>
        <v>4.4000000000000004</v>
      </c>
      <c r="BD55" s="104" t="s">
        <v>412</v>
      </c>
    </row>
    <row r="56" spans="1:56" ht="15.75" thickBot="1" x14ac:dyDescent="0.3">
      <c r="A56" s="493"/>
      <c r="B56" s="120" t="str">
        <f t="shared" si="0"/>
        <v>Rewiring</v>
      </c>
      <c r="C56" s="298">
        <v>0</v>
      </c>
      <c r="D56" s="282">
        <f t="shared" si="1"/>
        <v>0</v>
      </c>
      <c r="E56" s="135">
        <v>0</v>
      </c>
      <c r="F56" s="301">
        <f t="shared" si="58"/>
        <v>0</v>
      </c>
      <c r="G56" s="298">
        <v>0</v>
      </c>
      <c r="H56" s="132">
        <f t="shared" si="3"/>
        <v>0</v>
      </c>
      <c r="I56" s="135">
        <v>0</v>
      </c>
      <c r="J56" s="301">
        <f t="shared" si="45"/>
        <v>0</v>
      </c>
      <c r="K56" s="298">
        <v>0.1</v>
      </c>
      <c r="L56" s="132">
        <f t="shared" si="5"/>
        <v>4.4000000000000004</v>
      </c>
      <c r="M56" s="135">
        <v>0</v>
      </c>
      <c r="N56" s="301">
        <f t="shared" si="6"/>
        <v>4.4000000000000004</v>
      </c>
      <c r="O56" s="298">
        <v>0.05</v>
      </c>
      <c r="P56" s="132">
        <f t="shared" si="7"/>
        <v>2.2000000000000002</v>
      </c>
      <c r="Q56" s="281">
        <v>0</v>
      </c>
      <c r="R56" s="301">
        <f t="shared" si="46"/>
        <v>2.2000000000000002</v>
      </c>
      <c r="S56" s="298">
        <v>0.1</v>
      </c>
      <c r="T56" s="132">
        <f t="shared" si="9"/>
        <v>4.4000000000000004</v>
      </c>
      <c r="U56" s="135">
        <v>0</v>
      </c>
      <c r="V56" s="301">
        <f t="shared" si="47"/>
        <v>4.4000000000000004</v>
      </c>
      <c r="W56" s="298">
        <v>0</v>
      </c>
      <c r="X56" s="132">
        <f t="shared" si="11"/>
        <v>0</v>
      </c>
      <c r="Y56" s="135">
        <f t="shared" si="48"/>
        <v>0</v>
      </c>
      <c r="Z56" s="301">
        <f t="shared" si="49"/>
        <v>0</v>
      </c>
      <c r="AA56" s="298">
        <v>0.1</v>
      </c>
      <c r="AB56" s="132">
        <f t="shared" si="14"/>
        <v>4.4000000000000004</v>
      </c>
      <c r="AC56" s="135">
        <f t="shared" si="15"/>
        <v>0</v>
      </c>
      <c r="AD56" s="301">
        <f t="shared" si="50"/>
        <v>4.4000000000000004</v>
      </c>
      <c r="AE56" s="298">
        <v>0</v>
      </c>
      <c r="AF56" s="132">
        <f t="shared" si="17"/>
        <v>0</v>
      </c>
      <c r="AG56" s="135">
        <v>0</v>
      </c>
      <c r="AH56" s="301">
        <f t="shared" si="51"/>
        <v>0</v>
      </c>
      <c r="AI56" s="298">
        <v>0</v>
      </c>
      <c r="AJ56" s="132">
        <f t="shared" si="19"/>
        <v>0</v>
      </c>
      <c r="AK56" s="135">
        <f t="shared" si="20"/>
        <v>0</v>
      </c>
      <c r="AL56" s="301">
        <f t="shared" si="52"/>
        <v>0</v>
      </c>
      <c r="AM56" s="298">
        <v>0.1</v>
      </c>
      <c r="AN56" s="132">
        <f t="shared" si="22"/>
        <v>4.4000000000000004</v>
      </c>
      <c r="AO56" s="135">
        <f t="shared" si="23"/>
        <v>0</v>
      </c>
      <c r="AP56" s="301">
        <f t="shared" si="53"/>
        <v>4.4000000000000004</v>
      </c>
      <c r="AQ56" s="298">
        <v>0</v>
      </c>
      <c r="AR56" s="132">
        <f t="shared" si="25"/>
        <v>0</v>
      </c>
      <c r="AS56" s="135">
        <f t="shared" si="26"/>
        <v>0</v>
      </c>
      <c r="AT56" s="301">
        <f t="shared" si="54"/>
        <v>0</v>
      </c>
      <c r="AU56" s="298">
        <v>0</v>
      </c>
      <c r="AV56" s="132">
        <f t="shared" si="28"/>
        <v>0</v>
      </c>
      <c r="AW56" s="135">
        <v>0</v>
      </c>
      <c r="AX56" s="301">
        <f t="shared" si="55"/>
        <v>0</v>
      </c>
      <c r="AY56" s="291">
        <v>0</v>
      </c>
      <c r="AZ56" s="120">
        <v>0</v>
      </c>
      <c r="BA56" s="135">
        <f t="shared" si="56"/>
        <v>0</v>
      </c>
      <c r="BB56" s="301">
        <f t="shared" si="57"/>
        <v>0</v>
      </c>
      <c r="BC56">
        <f t="shared" si="32"/>
        <v>19.8</v>
      </c>
    </row>
    <row r="57" spans="1:56" ht="15.75" thickBot="1" x14ac:dyDescent="0.3">
      <c r="A57" s="493"/>
      <c r="B57" s="120" t="str">
        <f t="shared" si="0"/>
        <v>Historical Load</v>
      </c>
      <c r="C57" s="298">
        <v>0</v>
      </c>
      <c r="D57" s="282">
        <f t="shared" si="1"/>
        <v>0</v>
      </c>
      <c r="E57" s="135">
        <v>0</v>
      </c>
      <c r="F57" s="301">
        <f t="shared" si="58"/>
        <v>0</v>
      </c>
      <c r="G57" s="298">
        <v>0</v>
      </c>
      <c r="H57" s="132">
        <f t="shared" si="3"/>
        <v>0</v>
      </c>
      <c r="I57" s="135">
        <v>0</v>
      </c>
      <c r="J57" s="301">
        <f t="shared" si="45"/>
        <v>0</v>
      </c>
      <c r="K57" s="298">
        <v>0</v>
      </c>
      <c r="L57" s="132">
        <f t="shared" si="5"/>
        <v>0</v>
      </c>
      <c r="M57" s="135">
        <v>0</v>
      </c>
      <c r="N57" s="301">
        <f t="shared" si="6"/>
        <v>0</v>
      </c>
      <c r="O57" s="298">
        <v>0</v>
      </c>
      <c r="P57" s="132">
        <f t="shared" si="7"/>
        <v>0</v>
      </c>
      <c r="Q57" s="281">
        <v>0</v>
      </c>
      <c r="R57" s="301">
        <f t="shared" si="46"/>
        <v>0</v>
      </c>
      <c r="S57" s="298">
        <v>0</v>
      </c>
      <c r="T57" s="132">
        <f t="shared" si="9"/>
        <v>0</v>
      </c>
      <c r="U57" s="135">
        <v>0</v>
      </c>
      <c r="V57" s="301">
        <f t="shared" si="47"/>
        <v>0</v>
      </c>
      <c r="W57" s="298">
        <v>0</v>
      </c>
      <c r="X57" s="132">
        <f t="shared" si="11"/>
        <v>0</v>
      </c>
      <c r="Y57" s="135">
        <f t="shared" si="48"/>
        <v>0</v>
      </c>
      <c r="Z57" s="301">
        <f t="shared" si="49"/>
        <v>0</v>
      </c>
      <c r="AA57" s="298">
        <v>0.1</v>
      </c>
      <c r="AB57" s="132">
        <f t="shared" si="14"/>
        <v>4.4000000000000004</v>
      </c>
      <c r="AC57" s="135">
        <f t="shared" si="15"/>
        <v>0</v>
      </c>
      <c r="AD57" s="301">
        <f t="shared" si="50"/>
        <v>4.4000000000000004</v>
      </c>
      <c r="AE57" s="298">
        <v>0</v>
      </c>
      <c r="AF57" s="132">
        <f t="shared" si="17"/>
        <v>0</v>
      </c>
      <c r="AG57" s="135">
        <v>0</v>
      </c>
      <c r="AH57" s="301">
        <f t="shared" si="51"/>
        <v>0</v>
      </c>
      <c r="AI57" s="298">
        <v>0</v>
      </c>
      <c r="AJ57" s="132">
        <f t="shared" si="19"/>
        <v>0</v>
      </c>
      <c r="AK57" s="135">
        <f t="shared" si="20"/>
        <v>0</v>
      </c>
      <c r="AL57" s="301">
        <f t="shared" si="52"/>
        <v>0</v>
      </c>
      <c r="AM57" s="298">
        <v>0.1</v>
      </c>
      <c r="AN57" s="132">
        <f t="shared" si="22"/>
        <v>4.4000000000000004</v>
      </c>
      <c r="AO57" s="135">
        <f t="shared" si="23"/>
        <v>0</v>
      </c>
      <c r="AP57" s="301">
        <f t="shared" si="53"/>
        <v>4.4000000000000004</v>
      </c>
      <c r="AQ57" s="298">
        <v>0</v>
      </c>
      <c r="AR57" s="132">
        <f t="shared" si="25"/>
        <v>0</v>
      </c>
      <c r="AS57" s="135">
        <f t="shared" si="26"/>
        <v>0</v>
      </c>
      <c r="AT57" s="301">
        <f t="shared" si="54"/>
        <v>0</v>
      </c>
      <c r="AU57" s="298">
        <v>0</v>
      </c>
      <c r="AV57" s="132">
        <f t="shared" si="28"/>
        <v>0</v>
      </c>
      <c r="AW57" s="135">
        <v>0</v>
      </c>
      <c r="AX57" s="301">
        <f t="shared" si="55"/>
        <v>0</v>
      </c>
      <c r="AY57" s="291">
        <v>0</v>
      </c>
      <c r="AZ57" s="120">
        <v>0</v>
      </c>
      <c r="BA57" s="135">
        <f t="shared" si="56"/>
        <v>0</v>
      </c>
      <c r="BB57" s="301">
        <f t="shared" si="57"/>
        <v>0</v>
      </c>
      <c r="BC57">
        <f t="shared" si="32"/>
        <v>8.8000000000000007</v>
      </c>
    </row>
    <row r="58" spans="1:56" ht="15.75" thickBot="1" x14ac:dyDescent="0.3">
      <c r="A58" s="493"/>
      <c r="B58" s="120" t="str">
        <f t="shared" si="0"/>
        <v>Future State Data project</v>
      </c>
      <c r="C58" s="298">
        <v>0</v>
      </c>
      <c r="D58" s="282">
        <f t="shared" si="1"/>
        <v>0</v>
      </c>
      <c r="E58" s="135">
        <v>0</v>
      </c>
      <c r="F58" s="301">
        <f t="shared" si="58"/>
        <v>0</v>
      </c>
      <c r="G58" s="298">
        <v>0</v>
      </c>
      <c r="H58" s="132">
        <f t="shared" si="3"/>
        <v>0</v>
      </c>
      <c r="I58" s="135">
        <v>0</v>
      </c>
      <c r="J58" s="301">
        <f t="shared" si="45"/>
        <v>0</v>
      </c>
      <c r="K58" s="298">
        <v>0.2</v>
      </c>
      <c r="L58" s="132">
        <f t="shared" si="5"/>
        <v>8.8000000000000007</v>
      </c>
      <c r="M58" s="135">
        <v>0</v>
      </c>
      <c r="N58" s="301">
        <f t="shared" si="6"/>
        <v>8.8000000000000007</v>
      </c>
      <c r="O58" s="298">
        <v>0.05</v>
      </c>
      <c r="P58" s="132">
        <f t="shared" si="7"/>
        <v>2.2000000000000002</v>
      </c>
      <c r="Q58" s="281">
        <v>0</v>
      </c>
      <c r="R58" s="301">
        <f t="shared" si="46"/>
        <v>2.2000000000000002</v>
      </c>
      <c r="S58" s="298">
        <v>0.1</v>
      </c>
      <c r="T58" s="132">
        <f t="shared" si="9"/>
        <v>4.4000000000000004</v>
      </c>
      <c r="U58" s="135">
        <v>0</v>
      </c>
      <c r="V58" s="301">
        <f t="shared" si="47"/>
        <v>4.4000000000000004</v>
      </c>
      <c r="W58" s="298">
        <v>0</v>
      </c>
      <c r="X58" s="132">
        <f t="shared" si="11"/>
        <v>0</v>
      </c>
      <c r="Y58" s="135">
        <f t="shared" si="48"/>
        <v>0</v>
      </c>
      <c r="Z58" s="301">
        <f t="shared" si="49"/>
        <v>0</v>
      </c>
      <c r="AA58" s="298">
        <v>0.1</v>
      </c>
      <c r="AB58" s="132">
        <f t="shared" si="14"/>
        <v>4.4000000000000004</v>
      </c>
      <c r="AC58" s="135">
        <f t="shared" si="15"/>
        <v>0</v>
      </c>
      <c r="AD58" s="301">
        <f t="shared" si="50"/>
        <v>4.4000000000000004</v>
      </c>
      <c r="AE58" s="298">
        <v>0</v>
      </c>
      <c r="AF58" s="132">
        <f t="shared" si="17"/>
        <v>0</v>
      </c>
      <c r="AG58" s="135">
        <v>0</v>
      </c>
      <c r="AH58" s="301">
        <f t="shared" si="51"/>
        <v>0</v>
      </c>
      <c r="AI58" s="298">
        <v>0.1</v>
      </c>
      <c r="AJ58" s="132">
        <f t="shared" si="19"/>
        <v>4.4000000000000004</v>
      </c>
      <c r="AK58" s="135">
        <f t="shared" si="20"/>
        <v>0</v>
      </c>
      <c r="AL58" s="301">
        <f t="shared" si="52"/>
        <v>4.4000000000000004</v>
      </c>
      <c r="AM58" s="298">
        <v>0</v>
      </c>
      <c r="AN58" s="132">
        <f t="shared" si="22"/>
        <v>0</v>
      </c>
      <c r="AO58" s="135">
        <f t="shared" si="23"/>
        <v>0</v>
      </c>
      <c r="AP58" s="301">
        <f t="shared" si="53"/>
        <v>0</v>
      </c>
      <c r="AQ58" s="298">
        <v>0</v>
      </c>
      <c r="AR58" s="132">
        <f t="shared" si="25"/>
        <v>0</v>
      </c>
      <c r="AS58" s="135">
        <f t="shared" si="26"/>
        <v>0</v>
      </c>
      <c r="AT58" s="301">
        <f t="shared" si="54"/>
        <v>0</v>
      </c>
      <c r="AU58" s="298">
        <v>0</v>
      </c>
      <c r="AV58" s="132">
        <f t="shared" si="28"/>
        <v>0</v>
      </c>
      <c r="AW58" s="135">
        <v>0</v>
      </c>
      <c r="AX58" s="301">
        <f t="shared" si="55"/>
        <v>0</v>
      </c>
      <c r="AY58" s="291">
        <v>0</v>
      </c>
      <c r="AZ58" s="120">
        <v>0</v>
      </c>
      <c r="BA58" s="135">
        <f t="shared" si="56"/>
        <v>0</v>
      </c>
      <c r="BB58" s="301">
        <f t="shared" si="57"/>
        <v>0</v>
      </c>
      <c r="BC58">
        <f t="shared" si="32"/>
        <v>24.200000000000003</v>
      </c>
    </row>
    <row r="59" spans="1:56" ht="15.75" thickBot="1" x14ac:dyDescent="0.3">
      <c r="A59" s="493"/>
      <c r="B59" s="120" t="str">
        <f t="shared" si="0"/>
        <v>Release on Demand</v>
      </c>
      <c r="C59" s="299">
        <v>0</v>
      </c>
      <c r="D59" s="282">
        <f t="shared" si="1"/>
        <v>0</v>
      </c>
      <c r="E59" s="135">
        <v>0</v>
      </c>
      <c r="F59" s="302">
        <f t="shared" si="58"/>
        <v>0</v>
      </c>
      <c r="G59" s="299">
        <v>0</v>
      </c>
      <c r="H59" s="283">
        <f t="shared" si="3"/>
        <v>0</v>
      </c>
      <c r="I59" s="135">
        <v>0</v>
      </c>
      <c r="J59" s="302">
        <f t="shared" si="45"/>
        <v>0</v>
      </c>
      <c r="K59" s="299">
        <v>0</v>
      </c>
      <c r="L59" s="283">
        <f t="shared" si="5"/>
        <v>0</v>
      </c>
      <c r="M59" s="135">
        <v>0</v>
      </c>
      <c r="N59" s="302">
        <f t="shared" si="6"/>
        <v>0</v>
      </c>
      <c r="O59" s="299">
        <v>0.05</v>
      </c>
      <c r="P59" s="283">
        <f t="shared" si="7"/>
        <v>2.2000000000000002</v>
      </c>
      <c r="Q59" s="281">
        <v>0</v>
      </c>
      <c r="R59" s="302">
        <f t="shared" si="46"/>
        <v>2.2000000000000002</v>
      </c>
      <c r="S59" s="299">
        <v>0</v>
      </c>
      <c r="T59" s="283">
        <f t="shared" si="9"/>
        <v>0</v>
      </c>
      <c r="U59" s="135">
        <v>0</v>
      </c>
      <c r="V59" s="302">
        <f t="shared" si="47"/>
        <v>0</v>
      </c>
      <c r="W59" s="299">
        <v>0</v>
      </c>
      <c r="X59" s="283">
        <f t="shared" si="11"/>
        <v>0</v>
      </c>
      <c r="Y59" s="135">
        <f t="shared" si="48"/>
        <v>0</v>
      </c>
      <c r="Z59" s="302">
        <f t="shared" si="49"/>
        <v>0</v>
      </c>
      <c r="AA59" s="299">
        <v>0</v>
      </c>
      <c r="AB59" s="283">
        <f t="shared" si="14"/>
        <v>0</v>
      </c>
      <c r="AC59" s="135">
        <f t="shared" si="15"/>
        <v>0</v>
      </c>
      <c r="AD59" s="302">
        <f t="shared" si="50"/>
        <v>0</v>
      </c>
      <c r="AE59" s="299">
        <v>0</v>
      </c>
      <c r="AF59" s="283">
        <f t="shared" si="17"/>
        <v>0</v>
      </c>
      <c r="AG59" s="135">
        <v>0</v>
      </c>
      <c r="AH59" s="302">
        <f t="shared" si="51"/>
        <v>0</v>
      </c>
      <c r="AI59" s="299">
        <v>0</v>
      </c>
      <c r="AJ59" s="283">
        <f t="shared" si="19"/>
        <v>0</v>
      </c>
      <c r="AK59" s="135">
        <f t="shared" si="20"/>
        <v>0</v>
      </c>
      <c r="AL59" s="302">
        <f t="shared" si="52"/>
        <v>0</v>
      </c>
      <c r="AM59" s="299">
        <v>0</v>
      </c>
      <c r="AN59" s="283">
        <f t="shared" si="22"/>
        <v>0</v>
      </c>
      <c r="AO59" s="135">
        <f t="shared" si="23"/>
        <v>0</v>
      </c>
      <c r="AP59" s="302">
        <f t="shared" si="53"/>
        <v>0</v>
      </c>
      <c r="AQ59" s="299">
        <v>0</v>
      </c>
      <c r="AR59" s="283">
        <f t="shared" si="25"/>
        <v>0</v>
      </c>
      <c r="AS59" s="135">
        <f t="shared" si="26"/>
        <v>0</v>
      </c>
      <c r="AT59" s="302">
        <f t="shared" si="54"/>
        <v>0</v>
      </c>
      <c r="AU59" s="298">
        <v>0</v>
      </c>
      <c r="AV59" s="283">
        <f t="shared" si="28"/>
        <v>0</v>
      </c>
      <c r="AW59" s="135">
        <v>0</v>
      </c>
      <c r="AX59" s="302">
        <f t="shared" si="55"/>
        <v>0</v>
      </c>
      <c r="AY59" s="292">
        <v>0</v>
      </c>
      <c r="AZ59" s="294">
        <v>0</v>
      </c>
      <c r="BA59" s="135">
        <f t="shared" si="56"/>
        <v>0</v>
      </c>
      <c r="BB59" s="302">
        <f t="shared" si="57"/>
        <v>0</v>
      </c>
      <c r="BC59">
        <f t="shared" si="32"/>
        <v>2.2000000000000002</v>
      </c>
    </row>
    <row r="60" spans="1:56" ht="15.75" thickBot="1" x14ac:dyDescent="0.3">
      <c r="A60" s="493"/>
      <c r="B60" s="120" t="str">
        <f t="shared" si="0"/>
        <v>DOS RE Equity</v>
      </c>
      <c r="C60" s="299">
        <v>0</v>
      </c>
      <c r="D60" s="282">
        <f t="shared" si="1"/>
        <v>0</v>
      </c>
      <c r="E60" s="135">
        <v>0</v>
      </c>
      <c r="F60" s="302">
        <f>D60-E60</f>
        <v>0</v>
      </c>
      <c r="G60" s="299">
        <v>0</v>
      </c>
      <c r="H60" s="283">
        <f t="shared" si="3"/>
        <v>0</v>
      </c>
      <c r="I60" s="135">
        <v>0</v>
      </c>
      <c r="J60" s="302">
        <f>H60-I60</f>
        <v>0</v>
      </c>
      <c r="K60" s="299">
        <v>0</v>
      </c>
      <c r="L60" s="283">
        <f t="shared" si="5"/>
        <v>0</v>
      </c>
      <c r="M60" s="135">
        <v>0</v>
      </c>
      <c r="N60" s="302">
        <f t="shared" si="6"/>
        <v>0</v>
      </c>
      <c r="O60" s="299">
        <v>0.05</v>
      </c>
      <c r="P60" s="283">
        <f t="shared" si="7"/>
        <v>2.2000000000000002</v>
      </c>
      <c r="Q60" s="281">
        <v>0</v>
      </c>
      <c r="R60" s="302">
        <f>P60-Q60</f>
        <v>2.2000000000000002</v>
      </c>
      <c r="S60" s="299">
        <v>0</v>
      </c>
      <c r="T60" s="283">
        <f t="shared" si="9"/>
        <v>0</v>
      </c>
      <c r="U60" s="135">
        <v>0</v>
      </c>
      <c r="V60" s="302">
        <f>T60-U60</f>
        <v>0</v>
      </c>
      <c r="W60" s="299">
        <v>0</v>
      </c>
      <c r="X60" s="283">
        <f t="shared" si="11"/>
        <v>0</v>
      </c>
      <c r="Y60" s="135" t="e" vm="1">
        <f t="shared" si="48"/>
        <v>#VALUE!</v>
      </c>
      <c r="Z60" s="302" t="e" vm="2">
        <f>X60-Y60</f>
        <v>#VALUE!</v>
      </c>
      <c r="AA60" s="299">
        <v>0</v>
      </c>
      <c r="AB60" s="283">
        <f t="shared" si="14"/>
        <v>0</v>
      </c>
      <c r="AC60" s="135">
        <f t="shared" si="15"/>
        <v>0</v>
      </c>
      <c r="AD60" s="302">
        <f>AB60-AC60</f>
        <v>0</v>
      </c>
      <c r="AE60" s="299">
        <v>0</v>
      </c>
      <c r="AF60" s="283">
        <f t="shared" si="17"/>
        <v>0</v>
      </c>
      <c r="AG60" s="135">
        <v>0</v>
      </c>
      <c r="AH60" s="302">
        <f>AF60-AG60</f>
        <v>0</v>
      </c>
      <c r="AI60" s="299">
        <v>0</v>
      </c>
      <c r="AJ60" s="283">
        <f t="shared" si="19"/>
        <v>0</v>
      </c>
      <c r="AK60" s="135">
        <f t="shared" si="20"/>
        <v>0</v>
      </c>
      <c r="AL60" s="302">
        <f>AJ60-AK60</f>
        <v>0</v>
      </c>
      <c r="AM60" s="299">
        <v>0</v>
      </c>
      <c r="AN60" s="283">
        <f t="shared" si="22"/>
        <v>0</v>
      </c>
      <c r="AO60" s="135">
        <f t="shared" si="23"/>
        <v>0</v>
      </c>
      <c r="AP60" s="302">
        <f>AN60-AO60</f>
        <v>0</v>
      </c>
      <c r="AQ60" s="299">
        <v>0</v>
      </c>
      <c r="AR60" s="283">
        <f t="shared" si="25"/>
        <v>0</v>
      </c>
      <c r="AS60" s="135">
        <f t="shared" si="26"/>
        <v>0</v>
      </c>
      <c r="AT60" s="302">
        <f>AR60-AS60</f>
        <v>0</v>
      </c>
      <c r="AU60" s="298">
        <v>0</v>
      </c>
      <c r="AV60" s="283">
        <f t="shared" si="28"/>
        <v>0</v>
      </c>
      <c r="AW60" s="135">
        <v>0</v>
      </c>
      <c r="AX60" s="302">
        <f>AV60-AW60</f>
        <v>0</v>
      </c>
      <c r="AY60" s="292">
        <v>0</v>
      </c>
      <c r="AZ60" s="294">
        <v>0</v>
      </c>
      <c r="BA60" s="135" t="e" vm="1">
        <f t="shared" si="56"/>
        <v>#VALUE!</v>
      </c>
      <c r="BB60" s="302" t="e" vm="2">
        <f>AZ60-BA60</f>
        <v>#VALUE!</v>
      </c>
      <c r="BC60" t="e" vm="2">
        <f>SUM(F60,J60,N60,R60,V60,Z60,AD60,AH60,AL60,AP60,AT60,AX60,BB60)</f>
        <v>#VALUE!</v>
      </c>
    </row>
    <row r="61" spans="1:56" x14ac:dyDescent="0.25">
      <c r="B61" s="314"/>
    </row>
    <row r="63" spans="1:56" ht="15.75" thickBot="1" x14ac:dyDescent="0.3"/>
    <row r="64" spans="1:56" ht="15.75" thickBot="1" x14ac:dyDescent="0.3">
      <c r="C64" s="492" t="s">
        <v>284</v>
      </c>
      <c r="D64" s="492"/>
      <c r="E64" s="492"/>
      <c r="F64" s="492"/>
      <c r="G64" s="492" t="s">
        <v>315</v>
      </c>
      <c r="H64" s="492"/>
      <c r="I64" s="492"/>
      <c r="J64" s="492"/>
      <c r="K64" s="385" t="s">
        <v>301</v>
      </c>
      <c r="L64" s="385"/>
      <c r="M64" s="385"/>
      <c r="N64" s="385"/>
      <c r="O64" s="492" t="s">
        <v>293</v>
      </c>
      <c r="P64" s="492"/>
      <c r="Q64" s="492"/>
      <c r="R64" s="492"/>
      <c r="S64" s="492" t="s">
        <v>317</v>
      </c>
      <c r="T64" s="492"/>
      <c r="U64" s="492"/>
      <c r="V64" s="492"/>
      <c r="W64" s="492" t="s">
        <v>763</v>
      </c>
      <c r="X64" s="492"/>
      <c r="Y64" s="492"/>
      <c r="Z64" s="492"/>
      <c r="AA64" s="492" t="s">
        <v>289</v>
      </c>
      <c r="AB64" s="492"/>
      <c r="AC64" s="492"/>
      <c r="AD64" s="492"/>
      <c r="AE64" s="492" t="s">
        <v>297</v>
      </c>
      <c r="AF64" s="492"/>
      <c r="AG64" s="492"/>
      <c r="AH64" s="492"/>
      <c r="AI64" s="492" t="s">
        <v>303</v>
      </c>
      <c r="AJ64" s="492"/>
      <c r="AK64" s="492"/>
      <c r="AL64" s="492"/>
      <c r="AM64" s="492" t="s">
        <v>322</v>
      </c>
      <c r="AN64" s="492"/>
      <c r="AO64" s="492"/>
      <c r="AP64" s="492"/>
      <c r="AQ64" s="492" t="s">
        <v>324</v>
      </c>
      <c r="AR64" s="492"/>
      <c r="AS64" s="492"/>
      <c r="AT64" s="492"/>
      <c r="AU64" s="492" t="s">
        <v>415</v>
      </c>
      <c r="AV64" s="492"/>
      <c r="AW64" s="492"/>
      <c r="AX64" s="496"/>
      <c r="AY64" s="496" t="s">
        <v>299</v>
      </c>
      <c r="AZ64" s="497"/>
      <c r="BA64" s="497"/>
      <c r="BB64" s="498"/>
    </row>
    <row r="65" spans="1:55" ht="15.75" customHeight="1" thickBot="1" x14ac:dyDescent="0.3">
      <c r="A65" s="494" t="s">
        <v>416</v>
      </c>
      <c r="B65" s="305" t="s">
        <v>406</v>
      </c>
      <c r="C65" s="306" t="str">
        <f>CONCATENATE("Percentage (", SUM(C$66:C$70)*100, "%)")</f>
        <v>Percentage (100%)</v>
      </c>
      <c r="D65" s="306" t="s">
        <v>407</v>
      </c>
      <c r="E65" s="306" t="s">
        <v>408</v>
      </c>
      <c r="F65" s="306" t="s">
        <v>409</v>
      </c>
      <c r="G65" s="306" t="str">
        <f>CONCATENATE("Percentage (", SUM(G$66:G$70)*100, "%)")</f>
        <v>Percentage (100%)</v>
      </c>
      <c r="H65" s="306" t="s">
        <v>407</v>
      </c>
      <c r="I65" s="306" t="s">
        <v>408</v>
      </c>
      <c r="J65" s="306" t="s">
        <v>409</v>
      </c>
      <c r="K65" s="306" t="str">
        <f>CONCATENATE("Percentage (", SUM(K$66:K$70)*100, "%)")</f>
        <v>Percentage (100%)</v>
      </c>
      <c r="L65" s="306" t="s">
        <v>407</v>
      </c>
      <c r="M65" s="306" t="s">
        <v>408</v>
      </c>
      <c r="N65" s="306" t="s">
        <v>409</v>
      </c>
      <c r="O65" s="306" t="str">
        <f>CONCATENATE("Percentage (", SUM(O$66:O$70)*100, "%)")</f>
        <v>Percentage (100%)</v>
      </c>
      <c r="P65" s="306" t="s">
        <v>407</v>
      </c>
      <c r="Q65" s="306" t="s">
        <v>408</v>
      </c>
      <c r="R65" s="306" t="s">
        <v>409</v>
      </c>
      <c r="S65" s="306" t="str">
        <f>CONCATENATE("Percentage (", SUM(S$66:S$70)*100, "%)")</f>
        <v>Percentage (100%)</v>
      </c>
      <c r="T65" s="306" t="s">
        <v>407</v>
      </c>
      <c r="U65" s="306" t="s">
        <v>408</v>
      </c>
      <c r="V65" s="306" t="s">
        <v>409</v>
      </c>
      <c r="W65" s="306" t="str">
        <f>CONCATENATE("Percentage (", SUM(W$66:W$70)*100, "%)")</f>
        <v>Percentage (100%)</v>
      </c>
      <c r="X65" s="306" t="s">
        <v>407</v>
      </c>
      <c r="Y65" s="306" t="s">
        <v>408</v>
      </c>
      <c r="Z65" s="306" t="s">
        <v>409</v>
      </c>
      <c r="AA65" s="306" t="str">
        <f>CONCATENATE("Percentage (", SUM(AA$66:AA$70)*100, "%)")</f>
        <v>Percentage (100%)</v>
      </c>
      <c r="AB65" s="306" t="s">
        <v>407</v>
      </c>
      <c r="AC65" s="306" t="s">
        <v>408</v>
      </c>
      <c r="AD65" s="306" t="s">
        <v>409</v>
      </c>
      <c r="AE65" s="306" t="str">
        <f>CONCATENATE("Percentage (", SUM(AE$66:AE$70)*100, "%)")</f>
        <v>Percentage (100%)</v>
      </c>
      <c r="AF65" s="306" t="s">
        <v>407</v>
      </c>
      <c r="AG65" s="306" t="s">
        <v>408</v>
      </c>
      <c r="AH65" s="306" t="s">
        <v>409</v>
      </c>
      <c r="AI65" s="306" t="str">
        <f>CONCATENATE("Percentage (", SUM(AI$66:AI$70)*100, "%)")</f>
        <v>Percentage (100%)</v>
      </c>
      <c r="AJ65" s="306" t="s">
        <v>407</v>
      </c>
      <c r="AK65" s="306" t="s">
        <v>408</v>
      </c>
      <c r="AL65" s="306" t="s">
        <v>409</v>
      </c>
      <c r="AM65" s="306" t="str">
        <f>CONCATENATE("Percentage (", SUM(AM$66:AM$70)*100, "%)")</f>
        <v>Percentage (70%)</v>
      </c>
      <c r="AN65" s="306" t="s">
        <v>407</v>
      </c>
      <c r="AO65" s="306" t="s">
        <v>408</v>
      </c>
      <c r="AP65" s="306" t="s">
        <v>409</v>
      </c>
      <c r="AQ65" s="306" t="str">
        <f>CONCATENATE("Percentage (", SUM(AQ$66:AQ$70)*100, "%)")</f>
        <v>Percentage (35%)</v>
      </c>
      <c r="AR65" s="306" t="s">
        <v>407</v>
      </c>
      <c r="AS65" s="306" t="s">
        <v>408</v>
      </c>
      <c r="AT65" s="306" t="s">
        <v>409</v>
      </c>
      <c r="AU65" s="306" t="str">
        <f>CONCATENATE("Percentage (", SUM(AU$66:AU$70)*100, "%)")</f>
        <v>Percentage (100%)</v>
      </c>
      <c r="AV65" s="306" t="s">
        <v>407</v>
      </c>
      <c r="AW65" s="306" t="s">
        <v>408</v>
      </c>
      <c r="AX65" s="306" t="s">
        <v>409</v>
      </c>
      <c r="AY65" s="441" t="s">
        <v>410</v>
      </c>
      <c r="AZ65" s="442" t="s">
        <v>407</v>
      </c>
      <c r="BA65" s="442" t="s">
        <v>408</v>
      </c>
      <c r="BB65" s="443" t="s">
        <v>409</v>
      </c>
    </row>
    <row r="66" spans="1:55" x14ac:dyDescent="0.25">
      <c r="A66" s="495"/>
      <c r="B66" s="142" t="s">
        <v>417</v>
      </c>
      <c r="C66" s="307">
        <v>0.5</v>
      </c>
      <c r="D66" s="132">
        <f>VLOOKUP($C$64,  'Resource Planning'!$C$3:$M$13, 11, FALSE)*C66</f>
        <v>23.2</v>
      </c>
      <c r="E66" s="135"/>
      <c r="F66" s="68">
        <f t="shared" ref="F66:F69" si="59">D66-E66</f>
        <v>23.2</v>
      </c>
      <c r="G66" s="307">
        <v>0.3</v>
      </c>
      <c r="H66" s="4">
        <f>VLOOKUP($G$64,  'Resource Planning'!$C$3:$M$13, 11, FALSE)*G66</f>
        <v>13.92</v>
      </c>
      <c r="I66" s="205"/>
      <c r="J66" s="68">
        <f t="shared" ref="J66:J69" si="60">H66-I66</f>
        <v>13.92</v>
      </c>
      <c r="K66" s="307">
        <v>0</v>
      </c>
      <c r="L66" s="4">
        <f>VLOOKUP($K$64,  'Resource Planning'!$C$3:$M$13, 11, FALSE)*K66</f>
        <v>0</v>
      </c>
      <c r="M66" s="224"/>
      <c r="N66" s="68">
        <f>L66-M66</f>
        <v>0</v>
      </c>
      <c r="O66" s="307">
        <v>0</v>
      </c>
      <c r="P66" s="4">
        <f>VLOOKUP($O$64,  'Resource Planning'!$C$3:$M$13, 11, FALSE)*O66</f>
        <v>0</v>
      </c>
      <c r="Q66" s="4"/>
      <c r="R66" s="68">
        <f t="shared" ref="R66:R69" si="61">P66-Q66</f>
        <v>0</v>
      </c>
      <c r="S66" s="307">
        <v>0</v>
      </c>
      <c r="T66" s="4">
        <f>VLOOKUP($S$64,  'Resource Planning'!$C$3:$M$13, 11, FALSE)*S66</f>
        <v>0</v>
      </c>
      <c r="U66" s="4"/>
      <c r="V66" s="68">
        <f t="shared" ref="V66:V69" si="62">T66-U66</f>
        <v>0</v>
      </c>
      <c r="W66" s="307">
        <v>0.2</v>
      </c>
      <c r="X66" s="4">
        <f>VLOOKUP($W$64,  'Resource Planning'!$C$3:$M$13, 11, FALSE)*W66</f>
        <v>9.4400000000000013</v>
      </c>
      <c r="Y66" s="224"/>
      <c r="Z66" s="68">
        <f t="shared" ref="Z66:Z69" si="63">X66-Y66</f>
        <v>9.4400000000000013</v>
      </c>
      <c r="AA66" s="307">
        <v>0.7</v>
      </c>
      <c r="AB66" s="4">
        <f>VLOOKUP($AA$64,  'Resource Planning'!$C$3:$M$13, 11, FALSE)*AA66</f>
        <v>32.480000000000004</v>
      </c>
      <c r="AC66" s="4"/>
      <c r="AD66" s="68">
        <f t="shared" ref="AD66:AD70" si="64">AB66-AC66</f>
        <v>32.480000000000004</v>
      </c>
      <c r="AE66" s="307">
        <v>0</v>
      </c>
      <c r="AF66" s="4">
        <f>VLOOKUP($AE$64,  'Resource Planning'!$C$3:$M$13, 11, FALSE)*AE66</f>
        <v>0</v>
      </c>
      <c r="AG66" s="4"/>
      <c r="AH66" s="68">
        <f t="shared" ref="AH66:AH69" si="65">AF66-AG66</f>
        <v>0</v>
      </c>
      <c r="AI66" s="307">
        <v>0</v>
      </c>
      <c r="AJ66" s="4">
        <f>VLOOKUP($AI$64,  'Resource Planning'!$C$3:$M$13, 11, FALSE)*AI66</f>
        <v>0</v>
      </c>
      <c r="AK66" s="4"/>
      <c r="AL66" s="68">
        <f t="shared" ref="AL66:AL69" si="66">AJ66-AK66</f>
        <v>0</v>
      </c>
      <c r="AM66" s="307">
        <v>0</v>
      </c>
      <c r="AN66" s="4">
        <f>VLOOKUP($AM$64,  'Resource Planning'!$C$16:$M$27, 11, FALSE)*AM66</f>
        <v>0</v>
      </c>
      <c r="AO66" s="4"/>
      <c r="AP66" s="68">
        <f t="shared" ref="AP66:AP69" si="67">AN66-AO66</f>
        <v>0</v>
      </c>
      <c r="AQ66" s="307">
        <v>0</v>
      </c>
      <c r="AR66" s="4">
        <f>VLOOKUP($AQ$64,  'Resource Planning'!$C$16:$M$27, 11, FALSE)*AQ66</f>
        <v>0</v>
      </c>
      <c r="AS66" s="4"/>
      <c r="AT66" s="68">
        <f t="shared" ref="AT66:AT69" si="68">AR66-AS66</f>
        <v>0</v>
      </c>
      <c r="AU66" s="307">
        <v>0.2</v>
      </c>
      <c r="AV66" s="4">
        <f>VLOOKUP($AU$64,  'Resource Planning'!$C$3:$M$13, 11, FALSE)*AU66</f>
        <v>9.4400000000000013</v>
      </c>
      <c r="AW66" s="4"/>
      <c r="AX66" s="68">
        <f t="shared" ref="AX66:AX70" si="69">AV66-AW66</f>
        <v>9.4400000000000013</v>
      </c>
      <c r="AY66" s="307">
        <v>0.15</v>
      </c>
      <c r="AZ66" s="4">
        <f>VLOOKUP($AU$64,  'Resource Planning'!$C$3:$M$13, 11, FALSE)*AY66</f>
        <v>7.08</v>
      </c>
      <c r="BA66" s="4"/>
      <c r="BB66" s="68">
        <f t="shared" ref="BB66:BB70" si="70">AZ66-BA66</f>
        <v>7.08</v>
      </c>
      <c r="BC66">
        <f t="shared" ref="BC66:BC70" si="71">SUM(F66,J66,N66,R66,V66,Z66,AD66,AH66,AL66,AP66,AT66,AX66,BB66)</f>
        <v>95.56</v>
      </c>
    </row>
    <row r="67" spans="1:55" x14ac:dyDescent="0.25">
      <c r="A67" s="495"/>
      <c r="B67" s="142" t="s">
        <v>418</v>
      </c>
      <c r="C67" s="307">
        <v>0</v>
      </c>
      <c r="D67" s="132">
        <f>VLOOKUP($C$64,  'Resource Planning'!$C$3:$M$13, 11, FALSE)*C67</f>
        <v>0</v>
      </c>
      <c r="E67" s="135"/>
      <c r="F67" s="68">
        <f t="shared" si="59"/>
        <v>0</v>
      </c>
      <c r="G67" s="307">
        <v>0</v>
      </c>
      <c r="H67" s="4">
        <f>VLOOKUP($G$64,  'Resource Planning'!$C$3:$M$13, 11, FALSE)*G67</f>
        <v>0</v>
      </c>
      <c r="I67" s="4"/>
      <c r="J67" s="68">
        <f t="shared" si="60"/>
        <v>0</v>
      </c>
      <c r="K67" s="307">
        <v>0.25</v>
      </c>
      <c r="L67" s="4">
        <f>VLOOKUP($K$64,  'Resource Planning'!$C$3:$M$13, 11, FALSE)*K67</f>
        <v>11</v>
      </c>
      <c r="M67" s="4"/>
      <c r="N67" s="68">
        <f>L67-M67</f>
        <v>11</v>
      </c>
      <c r="O67" s="307">
        <v>0</v>
      </c>
      <c r="P67" s="4">
        <f>VLOOKUP($O$64,  'Resource Planning'!$C$3:$M$13, 11, FALSE)*O67</f>
        <v>0</v>
      </c>
      <c r="Q67" s="4"/>
      <c r="R67" s="68">
        <f t="shared" si="61"/>
        <v>0</v>
      </c>
      <c r="S67" s="307">
        <v>0.2</v>
      </c>
      <c r="T67" s="4">
        <f>VLOOKUP($S$64,  'Resource Planning'!$C$3:$M$13, 11, FALSE)*S67</f>
        <v>9.4400000000000013</v>
      </c>
      <c r="U67" s="4"/>
      <c r="V67" s="68">
        <f t="shared" si="62"/>
        <v>9.4400000000000013</v>
      </c>
      <c r="W67" s="307">
        <v>0</v>
      </c>
      <c r="X67" s="4">
        <f>VLOOKUP($W$64,  'Resource Planning'!$C$3:$M$13, 11, FALSE)*W67</f>
        <v>0</v>
      </c>
      <c r="Y67" s="4"/>
      <c r="Z67" s="68">
        <f t="shared" si="63"/>
        <v>0</v>
      </c>
      <c r="AA67" s="307">
        <v>0</v>
      </c>
      <c r="AB67" s="4">
        <f>VLOOKUP($AA$64,  'Resource Planning'!$C$3:$M$13, 11, FALSE)*AA67</f>
        <v>0</v>
      </c>
      <c r="AC67" s="4"/>
      <c r="AD67" s="68">
        <f t="shared" si="64"/>
        <v>0</v>
      </c>
      <c r="AE67" s="307">
        <v>0</v>
      </c>
      <c r="AF67" s="4">
        <f>VLOOKUP($AE$64,  'Resource Planning'!$C$3:$M$13, 11, FALSE)*AE67</f>
        <v>0</v>
      </c>
      <c r="AG67" s="4"/>
      <c r="AH67" s="68">
        <f t="shared" si="65"/>
        <v>0</v>
      </c>
      <c r="AI67" s="307">
        <v>0</v>
      </c>
      <c r="AJ67" s="4">
        <f>VLOOKUP($AI$64,  'Resource Planning'!$C$3:$M$13, 11, FALSE)*AI67</f>
        <v>0</v>
      </c>
      <c r="AK67" s="4"/>
      <c r="AL67" s="68">
        <f t="shared" si="66"/>
        <v>0</v>
      </c>
      <c r="AM67" s="307">
        <v>0</v>
      </c>
      <c r="AN67" s="4">
        <f>VLOOKUP($AM$64,  'Resource Planning'!$C$16:$M$27, 11, FALSE)*AM67</f>
        <v>0</v>
      </c>
      <c r="AO67" s="4"/>
      <c r="AP67" s="68">
        <f t="shared" si="67"/>
        <v>0</v>
      </c>
      <c r="AQ67" s="307">
        <v>0</v>
      </c>
      <c r="AR67" s="4">
        <f>VLOOKUP($AQ$64,  'Resource Planning'!$C$16:$M$27, 11, FALSE)*AQ67</f>
        <v>0</v>
      </c>
      <c r="AS67" s="4"/>
      <c r="AT67" s="68">
        <f t="shared" si="68"/>
        <v>0</v>
      </c>
      <c r="AU67" s="307">
        <v>0</v>
      </c>
      <c r="AV67" s="4">
        <f>VLOOKUP($AU$64,  'Resource Planning'!$C$3:$M$13, 11, FALSE)*AU67</f>
        <v>0</v>
      </c>
      <c r="AW67" s="4"/>
      <c r="AX67" s="68">
        <f t="shared" si="69"/>
        <v>0</v>
      </c>
      <c r="AY67" s="307">
        <v>0.2</v>
      </c>
      <c r="AZ67" s="4">
        <f>VLOOKUP($AU$64,  'Resource Planning'!$C$3:$M$13, 11, FALSE)*AY67</f>
        <v>9.4400000000000013</v>
      </c>
      <c r="BA67" s="307"/>
      <c r="BB67" s="380">
        <f>AZ67-BA67</f>
        <v>9.4400000000000013</v>
      </c>
      <c r="BC67">
        <f t="shared" si="71"/>
        <v>29.880000000000003</v>
      </c>
    </row>
    <row r="68" spans="1:55" x14ac:dyDescent="0.25">
      <c r="A68" s="495"/>
      <c r="B68" s="142" t="s">
        <v>364</v>
      </c>
      <c r="C68" s="307">
        <v>0.5</v>
      </c>
      <c r="D68" s="132">
        <f>VLOOKUP($C$64,  'Resource Planning'!$C$3:$M$13, 11, FALSE)*C68</f>
        <v>23.2</v>
      </c>
      <c r="E68" s="135"/>
      <c r="F68" s="68">
        <f t="shared" si="59"/>
        <v>23.2</v>
      </c>
      <c r="G68" s="307">
        <v>0</v>
      </c>
      <c r="H68" s="4">
        <f>VLOOKUP($G$64,  'Resource Planning'!$C$3:$M$13, 11, FALSE)*G68</f>
        <v>0</v>
      </c>
      <c r="I68" s="4"/>
      <c r="J68" s="68">
        <f t="shared" si="60"/>
        <v>0</v>
      </c>
      <c r="K68" s="307">
        <v>0</v>
      </c>
      <c r="L68" s="4">
        <f>VLOOKUP($K$64,  'Resource Planning'!$C$3:$M$13, 11, FALSE)*K68</f>
        <v>0</v>
      </c>
      <c r="M68" s="4"/>
      <c r="N68" s="68">
        <f>L68-M68</f>
        <v>0</v>
      </c>
      <c r="O68" s="307">
        <v>0</v>
      </c>
      <c r="P68" s="4">
        <f>VLOOKUP($O$64,  'Resource Planning'!$C$3:$M$13, 11, FALSE)*O68</f>
        <v>0</v>
      </c>
      <c r="Q68" s="4"/>
      <c r="R68" s="68">
        <f t="shared" si="61"/>
        <v>0</v>
      </c>
      <c r="S68" s="307">
        <v>0</v>
      </c>
      <c r="T68" s="4">
        <f>VLOOKUP($S$64,  'Resource Planning'!$C$3:$M$13, 11, FALSE)*S68</f>
        <v>0</v>
      </c>
      <c r="U68" s="4"/>
      <c r="V68" s="68">
        <f t="shared" si="62"/>
        <v>0</v>
      </c>
      <c r="W68" s="307">
        <v>0.2</v>
      </c>
      <c r="X68" s="4">
        <f>VLOOKUP($W$64,  'Resource Planning'!$C$3:$M$13, 11, FALSE)*W68</f>
        <v>9.4400000000000013</v>
      </c>
      <c r="Y68" s="4"/>
      <c r="Z68" s="68">
        <f t="shared" si="63"/>
        <v>9.4400000000000013</v>
      </c>
      <c r="AA68" s="307">
        <v>0</v>
      </c>
      <c r="AB68" s="4">
        <f>VLOOKUP($AA$64,  'Resource Planning'!$C$3:$M$13, 11, FALSE)*AA68</f>
        <v>0</v>
      </c>
      <c r="AC68" s="4"/>
      <c r="AD68" s="68">
        <f t="shared" si="64"/>
        <v>0</v>
      </c>
      <c r="AE68" s="307">
        <v>0</v>
      </c>
      <c r="AF68" s="4">
        <f>VLOOKUP($AE$64,  'Resource Planning'!$C$3:$M$13, 11, FALSE)*AE68</f>
        <v>0</v>
      </c>
      <c r="AG68" s="4"/>
      <c r="AH68" s="68">
        <f t="shared" si="65"/>
        <v>0</v>
      </c>
      <c r="AI68" s="307">
        <v>0</v>
      </c>
      <c r="AJ68" s="4">
        <f>VLOOKUP($AI$64,  'Resource Planning'!$C$3:$M$13, 11, FALSE)*AI68</f>
        <v>0</v>
      </c>
      <c r="AK68" s="4"/>
      <c r="AL68" s="68">
        <f t="shared" si="66"/>
        <v>0</v>
      </c>
      <c r="AM68" s="307">
        <v>0</v>
      </c>
      <c r="AN68" s="4">
        <f>VLOOKUP($AM$64,  'Resource Planning'!$C$16:$M$27, 11, FALSE)*AM68</f>
        <v>0</v>
      </c>
      <c r="AO68" s="4"/>
      <c r="AP68" s="68">
        <f t="shared" si="67"/>
        <v>0</v>
      </c>
      <c r="AQ68" s="307">
        <v>0</v>
      </c>
      <c r="AR68" s="4">
        <f>VLOOKUP($AQ$64,  'Resource Planning'!$C$16:$M$27, 11, FALSE)*AQ68</f>
        <v>0</v>
      </c>
      <c r="AS68" s="4"/>
      <c r="AT68" s="68">
        <f t="shared" si="68"/>
        <v>0</v>
      </c>
      <c r="AU68" s="307">
        <v>0</v>
      </c>
      <c r="AV68" s="4">
        <f>VLOOKUP($AU$64,  'Resource Planning'!$C$3:$M$13, 11, FALSE)*AU68</f>
        <v>0</v>
      </c>
      <c r="AW68" s="4"/>
      <c r="AX68" s="68">
        <f t="shared" si="69"/>
        <v>0</v>
      </c>
      <c r="AY68" s="307">
        <v>0.15</v>
      </c>
      <c r="AZ68" s="4">
        <f>VLOOKUP($AU$64,  'Resource Planning'!$C$3:$M$13, 11, FALSE)*AY68</f>
        <v>7.08</v>
      </c>
      <c r="BA68" s="307"/>
      <c r="BB68" s="68" t="s">
        <v>711</v>
      </c>
      <c r="BC68">
        <f t="shared" si="71"/>
        <v>32.64</v>
      </c>
    </row>
    <row r="69" spans="1:55" x14ac:dyDescent="0.25">
      <c r="A69" s="495"/>
      <c r="B69" s="142" t="s">
        <v>366</v>
      </c>
      <c r="C69" s="307">
        <v>0</v>
      </c>
      <c r="D69" s="132">
        <f>VLOOKUP($C$64,  'Resource Planning'!$C$3:$M$13, 11, FALSE)*C69</f>
        <v>0</v>
      </c>
      <c r="E69" s="135"/>
      <c r="F69" s="68">
        <f t="shared" si="59"/>
        <v>0</v>
      </c>
      <c r="G69" s="307">
        <v>0.7</v>
      </c>
      <c r="H69" s="4">
        <f>VLOOKUP($G$64,  'Resource Planning'!$C$3:$M$13, 11, FALSE)*G69</f>
        <v>32.479999999999997</v>
      </c>
      <c r="I69" s="4"/>
      <c r="J69" s="68">
        <f t="shared" si="60"/>
        <v>32.479999999999997</v>
      </c>
      <c r="K69" s="307">
        <v>0.75</v>
      </c>
      <c r="L69" s="4">
        <f>VLOOKUP($K$64,  'Resource Planning'!$C$3:$M$13, 11, FALSE)*K69</f>
        <v>33</v>
      </c>
      <c r="M69" s="205"/>
      <c r="N69" s="68">
        <f>L69-M69</f>
        <v>33</v>
      </c>
      <c r="O69" s="307">
        <v>1</v>
      </c>
      <c r="P69" s="4">
        <f>VLOOKUP($O$64,  'Resource Planning'!$C$3:$M$13, 11, FALSE)*O69</f>
        <v>47.2</v>
      </c>
      <c r="Q69" s="205"/>
      <c r="R69" s="68">
        <f t="shared" si="61"/>
        <v>47.2</v>
      </c>
      <c r="S69" s="307">
        <v>0.8</v>
      </c>
      <c r="T69" s="4">
        <f>VLOOKUP($S$64,  'Resource Planning'!$C$3:$M$13, 11, FALSE)*S69</f>
        <v>37.760000000000005</v>
      </c>
      <c r="U69" s="205"/>
      <c r="V69" s="68">
        <f t="shared" si="62"/>
        <v>37.760000000000005</v>
      </c>
      <c r="W69" s="307">
        <v>0.6</v>
      </c>
      <c r="X69" s="4">
        <f>VLOOKUP($W$64,  'Resource Planning'!$C$3:$M$13, 11, FALSE)*W69</f>
        <v>28.32</v>
      </c>
      <c r="Y69" s="4"/>
      <c r="Z69" s="68">
        <f t="shared" si="63"/>
        <v>28.32</v>
      </c>
      <c r="AA69" s="307">
        <v>0</v>
      </c>
      <c r="AB69" s="4">
        <f>VLOOKUP($AA$64,  'Resource Planning'!$C$3:$M$13, 11, FALSE)*AA69</f>
        <v>0</v>
      </c>
      <c r="AC69" s="205"/>
      <c r="AD69" s="68">
        <f t="shared" si="64"/>
        <v>0</v>
      </c>
      <c r="AE69" s="307">
        <v>1</v>
      </c>
      <c r="AF69" s="4">
        <f>VLOOKUP($AE$64,  'Resource Planning'!$C$3:$M$13, 11, FALSE)*AE69</f>
        <v>43.2</v>
      </c>
      <c r="AG69" s="4"/>
      <c r="AH69" s="68">
        <f t="shared" si="65"/>
        <v>43.2</v>
      </c>
      <c r="AI69" s="307">
        <v>1</v>
      </c>
      <c r="AJ69" s="4">
        <f>VLOOKUP($AI$64,  'Resource Planning'!$C$3:$M$13, 11, FALSE)*AI69</f>
        <v>47.2</v>
      </c>
      <c r="AK69" s="4"/>
      <c r="AL69" s="68">
        <f t="shared" si="66"/>
        <v>47.2</v>
      </c>
      <c r="AM69" s="307">
        <v>0.7</v>
      </c>
      <c r="AN69" s="4">
        <f>VLOOKUP($AM$64,  'Resource Planning'!$C$16:$M$27, 11, FALSE)*AM69</f>
        <v>30.799999999999997</v>
      </c>
      <c r="AP69" s="68">
        <f t="shared" si="67"/>
        <v>30.799999999999997</v>
      </c>
      <c r="AQ69" s="307">
        <v>0.35</v>
      </c>
      <c r="AR69" s="4">
        <f>VLOOKUP($AQ$64,  'Resource Planning'!$C$16:$M$27, 11, FALSE)*AQ69</f>
        <v>15.399999999999999</v>
      </c>
      <c r="AS69" s="4"/>
      <c r="AT69" s="68">
        <f t="shared" si="68"/>
        <v>15.399999999999999</v>
      </c>
      <c r="AU69" s="307">
        <v>0</v>
      </c>
      <c r="AV69" s="4">
        <f>VLOOKUP($AU$64,  'Resource Planning'!$C$3:$M$13, 11, FALSE)*AU69</f>
        <v>0</v>
      </c>
      <c r="AW69" s="4"/>
      <c r="AX69" s="68">
        <f t="shared" si="69"/>
        <v>0</v>
      </c>
      <c r="AY69" s="307">
        <v>0.5</v>
      </c>
      <c r="AZ69" s="4">
        <f>VLOOKUP($AU$64,  'Resource Planning'!$C$3:$M$13, 11, FALSE)*AY69</f>
        <v>23.6</v>
      </c>
      <c r="BA69" s="307"/>
      <c r="BB69" s="68">
        <f t="shared" si="70"/>
        <v>23.6</v>
      </c>
      <c r="BC69">
        <f t="shared" si="71"/>
        <v>338.96</v>
      </c>
    </row>
    <row r="70" spans="1:55" x14ac:dyDescent="0.25">
      <c r="A70" s="495"/>
      <c r="B70" s="142" t="s">
        <v>419</v>
      </c>
      <c r="C70" s="307">
        <v>0</v>
      </c>
      <c r="D70" s="132">
        <f>VLOOKUP($C$64,  'Resource Planning'!$C$3:$M$13, 11, FALSE)*C70</f>
        <v>0</v>
      </c>
      <c r="E70" s="135"/>
      <c r="F70" s="68">
        <v>0</v>
      </c>
      <c r="G70" s="307"/>
      <c r="H70" s="4">
        <f>VLOOKUP($G$64,  'Resource Planning'!$C$3:$M$13, 11, FALSE)*G70</f>
        <v>0</v>
      </c>
      <c r="I70" s="4"/>
      <c r="J70" s="68"/>
      <c r="K70" s="307"/>
      <c r="L70" s="4">
        <f>VLOOKUP($K$64,  'Resource Planning'!$C$3:$M$13, 11, FALSE)*K70</f>
        <v>0</v>
      </c>
      <c r="M70" s="205"/>
      <c r="N70" s="68"/>
      <c r="O70" s="307"/>
      <c r="P70" s="4">
        <f>VLOOKUP($O$64,  'Resource Planning'!$C$3:$M$13, 11, FALSE)*O70</f>
        <v>0</v>
      </c>
      <c r="Q70" s="205"/>
      <c r="R70" s="68"/>
      <c r="S70" s="307"/>
      <c r="T70" s="4">
        <f>VLOOKUP($S$64,  'Resource Planning'!$C$3:$M$13, 11, FALSE)*S70</f>
        <v>0</v>
      </c>
      <c r="U70" s="205"/>
      <c r="V70" s="68"/>
      <c r="W70" s="307">
        <v>0</v>
      </c>
      <c r="X70" s="4">
        <f>VLOOKUP($W$64,  'Resource Planning'!$C$3:$M$13, 11, FALSE)*W70</f>
        <v>0</v>
      </c>
      <c r="Y70" s="4"/>
      <c r="Z70" s="68"/>
      <c r="AA70" s="307">
        <v>0.3</v>
      </c>
      <c r="AB70" s="4">
        <f>VLOOKUP($AA$64,  'Resource Planning'!$C$3:$M$13, 11, FALSE)*AA70</f>
        <v>13.920000000000002</v>
      </c>
      <c r="AC70" s="205"/>
      <c r="AD70" s="68">
        <f t="shared" si="64"/>
        <v>13.920000000000002</v>
      </c>
      <c r="AE70" s="307">
        <v>0</v>
      </c>
      <c r="AF70" s="4">
        <f>VLOOKUP($AE$64,  'Resource Planning'!$C$3:$M$13, 11, FALSE)*AE70</f>
        <v>0</v>
      </c>
      <c r="AG70" s="4"/>
      <c r="AH70" s="68"/>
      <c r="AI70" s="307">
        <v>0</v>
      </c>
      <c r="AJ70" s="4">
        <f>VLOOKUP($AI$64,  'Resource Planning'!$C$3:$M$13, 11, FALSE)*AI70</f>
        <v>0</v>
      </c>
      <c r="AK70" s="4"/>
      <c r="AL70" s="68"/>
      <c r="AM70" s="307"/>
      <c r="AN70" s="4">
        <f>VLOOKUP($AM$64,  'Resource Planning'!$C$16:$M$27, 11, FALSE)*AM70</f>
        <v>0</v>
      </c>
      <c r="AO70" s="304"/>
      <c r="AP70" s="68"/>
      <c r="AQ70" s="307"/>
      <c r="AR70" s="4">
        <f>VLOOKUP($AQ$64,  'Resource Planning'!$C$16:$M$27, 11, FALSE)*AQ70</f>
        <v>0</v>
      </c>
      <c r="AS70" s="304"/>
      <c r="AT70" s="68"/>
      <c r="AU70" s="307">
        <v>0.8</v>
      </c>
      <c r="AV70" s="4">
        <f>VLOOKUP($AU$64,  'Resource Planning'!$C$3:$M$13, 11, FALSE)*AU70</f>
        <v>37.760000000000005</v>
      </c>
      <c r="AW70" s="4"/>
      <c r="AX70" s="68">
        <f t="shared" si="69"/>
        <v>37.760000000000005</v>
      </c>
      <c r="AY70" s="307">
        <v>0</v>
      </c>
      <c r="AZ70" s="4">
        <f>VLOOKUP($AY$64,  'Resource Planning'!$C$3:$M$13, 11, FALSE)*AY70</f>
        <v>0</v>
      </c>
      <c r="BA70" s="307"/>
      <c r="BB70" s="68">
        <f t="shared" si="70"/>
        <v>0</v>
      </c>
      <c r="BC70">
        <f t="shared" si="71"/>
        <v>51.680000000000007</v>
      </c>
    </row>
    <row r="71" spans="1:55" x14ac:dyDescent="0.25">
      <c r="A71" s="386"/>
      <c r="B71" s="142" t="s">
        <v>771</v>
      </c>
      <c r="C71" s="307">
        <v>0</v>
      </c>
      <c r="D71" s="132">
        <f>VLOOKUP($C$64,  'Resource Planning'!$C$3:$M$13, 11, FALSE)*C71</f>
        <v>0</v>
      </c>
      <c r="E71" s="135"/>
      <c r="F71" s="68"/>
      <c r="G71" s="307"/>
      <c r="H71" s="4">
        <f>VLOOKUP($G$64,  'Resource Planning'!$C$3:$M$13, 11, FALSE)*G71</f>
        <v>0</v>
      </c>
      <c r="I71" s="4"/>
      <c r="J71" s="68"/>
      <c r="K71" s="307"/>
      <c r="L71" s="4">
        <f>VLOOKUP($K$64,  'Resource Planning'!$C$3:$M$13, 11, FALSE)*K71</f>
        <v>0</v>
      </c>
      <c r="M71" s="205"/>
      <c r="N71" s="68"/>
      <c r="O71" s="307"/>
      <c r="P71" s="4">
        <f>VLOOKUP($O$64,  'Resource Planning'!$C$3:$M$13, 11, FALSE)*O71</f>
        <v>0</v>
      </c>
      <c r="Q71" s="205"/>
      <c r="R71" s="68"/>
      <c r="S71" s="307"/>
      <c r="T71" s="4">
        <f>VLOOKUP($S$64,  'Resource Planning'!$C$3:$M$13, 11, FALSE)*S71</f>
        <v>0</v>
      </c>
      <c r="U71" s="205"/>
      <c r="V71" s="68"/>
      <c r="W71" s="307">
        <v>0</v>
      </c>
      <c r="X71" s="4">
        <f>VLOOKUP($W$64,  'Resource Planning'!$C$3:$M$13, 11, FALSE)*W71</f>
        <v>0</v>
      </c>
      <c r="Y71" s="4"/>
      <c r="Z71" s="68"/>
      <c r="AA71" s="307">
        <v>0.3</v>
      </c>
      <c r="AB71" s="4">
        <f>VLOOKUP($AA$64,  'Resource Planning'!$C$3:$M$13, 11, FALSE)*AA71</f>
        <v>13.920000000000002</v>
      </c>
      <c r="AC71" s="205"/>
      <c r="AD71" s="68">
        <f>AB71-AC71</f>
        <v>13.920000000000002</v>
      </c>
      <c r="AE71" s="307">
        <v>0</v>
      </c>
      <c r="AF71" s="4">
        <f>VLOOKUP($AE$64,  'Resource Planning'!$C$3:$M$13, 11, FALSE)*AE71</f>
        <v>0</v>
      </c>
      <c r="AG71" s="4"/>
      <c r="AH71" s="68"/>
      <c r="AI71" s="307">
        <v>0</v>
      </c>
      <c r="AJ71" s="4">
        <f>VLOOKUP($AI$64,  'Resource Planning'!$C$3:$M$13, 11, FALSE)*AI71</f>
        <v>0</v>
      </c>
      <c r="AK71" s="4"/>
      <c r="AL71" s="68"/>
      <c r="AM71" s="307"/>
      <c r="AN71" s="4">
        <f>VLOOKUP($AM$64,  'Resource Planning'!$C$16:$M$27, 11, FALSE)*AM71</f>
        <v>0</v>
      </c>
      <c r="AO71" s="304"/>
      <c r="AP71" s="68"/>
      <c r="AQ71" s="307"/>
      <c r="AR71" s="4">
        <f>VLOOKUP($AQ$64,  'Resource Planning'!$C$16:$M$27, 11, FALSE)*AQ71</f>
        <v>0</v>
      </c>
      <c r="AS71" s="304"/>
      <c r="AT71" s="68"/>
      <c r="AU71" s="307">
        <v>0.8</v>
      </c>
      <c r="AV71" s="4">
        <f>VLOOKUP($AU$64,  'Resource Planning'!$C$3:$M$13, 11, FALSE)*AU71</f>
        <v>37.760000000000005</v>
      </c>
      <c r="AW71" s="4"/>
      <c r="AX71" s="68">
        <f>AV71-AW71</f>
        <v>37.760000000000005</v>
      </c>
      <c r="AY71" s="307">
        <v>0</v>
      </c>
      <c r="AZ71" s="4">
        <f>VLOOKUP($AY$64,  'Resource Planning'!$C$3:$M$13, 11, FALSE)*AY71</f>
        <v>0</v>
      </c>
      <c r="BA71" s="307"/>
      <c r="BB71" s="68">
        <f>AZ71-BA71</f>
        <v>0</v>
      </c>
    </row>
    <row r="72" spans="1:55" x14ac:dyDescent="0.25">
      <c r="A72" s="199" t="s">
        <v>420</v>
      </c>
    </row>
    <row r="73" spans="1:55" x14ac:dyDescent="0.25">
      <c r="A73">
        <v>3</v>
      </c>
    </row>
    <row r="74" spans="1:55" x14ac:dyDescent="0.25">
      <c r="A74">
        <v>4</v>
      </c>
    </row>
    <row r="75" spans="1:55" x14ac:dyDescent="0.25">
      <c r="A75">
        <v>5</v>
      </c>
    </row>
    <row r="76" spans="1:55" x14ac:dyDescent="0.25">
      <c r="A76">
        <v>6</v>
      </c>
    </row>
    <row r="77" spans="1:55" x14ac:dyDescent="0.25">
      <c r="A77">
        <v>7</v>
      </c>
    </row>
    <row r="78" spans="1:55" x14ac:dyDescent="0.25">
      <c r="A78">
        <v>8</v>
      </c>
    </row>
    <row r="79" spans="1:55" x14ac:dyDescent="0.25">
      <c r="A79">
        <v>9</v>
      </c>
    </row>
    <row r="80" spans="1:55" x14ac:dyDescent="0.25">
      <c r="A80">
        <v>10</v>
      </c>
    </row>
    <row r="81" spans="1:14" x14ac:dyDescent="0.25">
      <c r="A81">
        <v>11</v>
      </c>
    </row>
    <row r="82" spans="1:14" x14ac:dyDescent="0.25">
      <c r="A82">
        <v>12</v>
      </c>
    </row>
    <row r="83" spans="1:14" x14ac:dyDescent="0.25">
      <c r="A83">
        <v>13</v>
      </c>
    </row>
    <row r="84" spans="1:14" x14ac:dyDescent="0.25">
      <c r="A84">
        <v>14</v>
      </c>
    </row>
    <row r="85" spans="1:14" x14ac:dyDescent="0.25">
      <c r="A85">
        <v>15</v>
      </c>
    </row>
    <row r="86" spans="1:14" x14ac:dyDescent="0.25">
      <c r="A86">
        <v>16</v>
      </c>
    </row>
    <row r="87" spans="1:14" x14ac:dyDescent="0.25">
      <c r="A87">
        <v>17</v>
      </c>
    </row>
    <row r="88" spans="1:14" x14ac:dyDescent="0.25">
      <c r="A88">
        <v>18</v>
      </c>
    </row>
    <row r="91" spans="1:14" x14ac:dyDescent="0.25">
      <c r="B91" s="199"/>
      <c r="C91" s="199"/>
      <c r="D91" s="199"/>
      <c r="E91" s="199"/>
      <c r="F91" s="199"/>
      <c r="G91" s="199"/>
      <c r="I91" s="199"/>
      <c r="J91" s="199"/>
      <c r="K91" s="199"/>
      <c r="L91" s="199"/>
      <c r="M91" s="199"/>
      <c r="N91" s="199"/>
    </row>
  </sheetData>
  <mergeCells count="26">
    <mergeCell ref="AY64:BB64"/>
    <mergeCell ref="C43:F43"/>
    <mergeCell ref="G43:J43"/>
    <mergeCell ref="O43:R43"/>
    <mergeCell ref="AM43:AP43"/>
    <mergeCell ref="AU43:AX43"/>
    <mergeCell ref="AY43:BB43"/>
    <mergeCell ref="S43:V43"/>
    <mergeCell ref="W43:Z43"/>
    <mergeCell ref="AA43:AD43"/>
    <mergeCell ref="AE43:AH43"/>
    <mergeCell ref="AI43:AL43"/>
    <mergeCell ref="AU64:AX64"/>
    <mergeCell ref="AM64:AP64"/>
    <mergeCell ref="AQ64:AT64"/>
    <mergeCell ref="AQ43:AT43"/>
    <mergeCell ref="A45:A60"/>
    <mergeCell ref="A65:A70"/>
    <mergeCell ref="W64:Z64"/>
    <mergeCell ref="AA64:AD64"/>
    <mergeCell ref="AE64:AH64"/>
    <mergeCell ref="AI64:AL64"/>
    <mergeCell ref="C64:F64"/>
    <mergeCell ref="G64:J64"/>
    <mergeCell ref="O64:R64"/>
    <mergeCell ref="S64:V64"/>
  </mergeCells>
  <conditionalFormatting sqref="AL45:AL47 AL51:AL59 AH45:AH47 AH51:AH59 AD45:AD47 AD51:AD59 Z45:Z47 Z51:Z59 V45:V47 V51:V59 R45:R47 R51:R59 N45:N47 N51:N59 J45:J47 J51:J59 F45:F47 F51:F59 AP45:AP47 AP51:AP59 AT45:AT47 AT51:AT59 AX45:AX47 AX51:AX59 BB45:BB47 BB51:BB59">
    <cfRule type="cellIs" dxfId="160" priority="166" operator="between">
      <formula>-1</formula>
      <formula>1</formula>
    </cfRule>
    <cfRule type="cellIs" dxfId="159" priority="167" operator="lessThan">
      <formula>-1</formula>
    </cfRule>
    <cfRule type="cellIs" dxfId="158" priority="168" operator="greaterThan">
      <formula>1</formula>
    </cfRule>
  </conditionalFormatting>
  <conditionalFormatting sqref="AL48:AL50 AH48:AH50 AD48:AD50 Z48:Z50 V48:V50 R48:R50 N48:N50 J48:J50 F48:F50 AP48:AP50 AT48:AT50 AX48:AX50 BB48:BB50">
    <cfRule type="cellIs" dxfId="157" priority="127" operator="between">
      <formula>-1</formula>
      <formula>1</formula>
    </cfRule>
    <cfRule type="cellIs" dxfId="156" priority="128" operator="lessThan">
      <formula>-1</formula>
    </cfRule>
    <cfRule type="cellIs" dxfId="155" priority="129" operator="greaterThan">
      <formula>1</formula>
    </cfRule>
  </conditionalFormatting>
  <conditionalFormatting sqref="F66:F69">
    <cfRule type="cellIs" dxfId="154" priority="124" operator="between">
      <formula>-1</formula>
      <formula>1</formula>
    </cfRule>
    <cfRule type="cellIs" dxfId="153" priority="125" operator="lessThan">
      <formula>-1</formula>
    </cfRule>
    <cfRule type="cellIs" dxfId="152" priority="126" operator="greaterThan">
      <formula>1</formula>
    </cfRule>
  </conditionalFormatting>
  <conditionalFormatting sqref="J66:J69">
    <cfRule type="cellIs" dxfId="151" priority="121" operator="between">
      <formula>-1</formula>
      <formula>1</formula>
    </cfRule>
    <cfRule type="cellIs" dxfId="150" priority="122" operator="lessThan">
      <formula>-1</formula>
    </cfRule>
    <cfRule type="cellIs" dxfId="149" priority="123" operator="greaterThan">
      <formula>1</formula>
    </cfRule>
  </conditionalFormatting>
  <conditionalFormatting sqref="N66:N69">
    <cfRule type="cellIs" dxfId="148" priority="118" operator="between">
      <formula>-1</formula>
      <formula>1</formula>
    </cfRule>
    <cfRule type="cellIs" dxfId="147" priority="119" operator="lessThan">
      <formula>-1</formula>
    </cfRule>
    <cfRule type="cellIs" dxfId="146" priority="120" operator="greaterThan">
      <formula>1</formula>
    </cfRule>
  </conditionalFormatting>
  <conditionalFormatting sqref="R66:R69">
    <cfRule type="cellIs" dxfId="145" priority="115" operator="between">
      <formula>-1</formula>
      <formula>1</formula>
    </cfRule>
    <cfRule type="cellIs" dxfId="144" priority="116" operator="lessThan">
      <formula>-1</formula>
    </cfRule>
    <cfRule type="cellIs" dxfId="143" priority="117" operator="greaterThan">
      <formula>1</formula>
    </cfRule>
  </conditionalFormatting>
  <conditionalFormatting sqref="V66:V69">
    <cfRule type="cellIs" dxfId="142" priority="112" operator="between">
      <formula>-1</formula>
      <formula>1</formula>
    </cfRule>
    <cfRule type="cellIs" dxfId="141" priority="113" operator="lessThan">
      <formula>-1</formula>
    </cfRule>
    <cfRule type="cellIs" dxfId="140" priority="114" operator="greaterThan">
      <formula>1</formula>
    </cfRule>
  </conditionalFormatting>
  <conditionalFormatting sqref="Z66:Z69">
    <cfRule type="cellIs" dxfId="139" priority="109" operator="between">
      <formula>-1</formula>
      <formula>1</formula>
    </cfRule>
    <cfRule type="cellIs" dxfId="138" priority="110" operator="lessThan">
      <formula>-1</formula>
    </cfRule>
    <cfRule type="cellIs" dxfId="137" priority="111" operator="greaterThan">
      <formula>1</formula>
    </cfRule>
  </conditionalFormatting>
  <conditionalFormatting sqref="AD66:AD70">
    <cfRule type="cellIs" dxfId="136" priority="103" operator="between">
      <formula>-1</formula>
      <formula>1</formula>
    </cfRule>
    <cfRule type="cellIs" dxfId="135" priority="104" operator="lessThan">
      <formula>-1</formula>
    </cfRule>
    <cfRule type="cellIs" dxfId="134" priority="105" operator="greaterThan">
      <formula>1</formula>
    </cfRule>
  </conditionalFormatting>
  <conditionalFormatting sqref="AH66:AH69">
    <cfRule type="cellIs" dxfId="133" priority="100" operator="between">
      <formula>-1</formula>
      <formula>1</formula>
    </cfRule>
    <cfRule type="cellIs" dxfId="132" priority="101" operator="lessThan">
      <formula>-1</formula>
    </cfRule>
    <cfRule type="cellIs" dxfId="131" priority="102" operator="greaterThan">
      <formula>1</formula>
    </cfRule>
  </conditionalFormatting>
  <conditionalFormatting sqref="AL66:AL69">
    <cfRule type="cellIs" dxfId="130" priority="97" operator="between">
      <formula>-1</formula>
      <formula>1</formula>
    </cfRule>
    <cfRule type="cellIs" dxfId="129" priority="98" operator="lessThan">
      <formula>-1</formula>
    </cfRule>
    <cfRule type="cellIs" dxfId="128" priority="99" operator="greaterThan">
      <formula>1</formula>
    </cfRule>
  </conditionalFormatting>
  <conditionalFormatting sqref="AP66:AP69">
    <cfRule type="cellIs" dxfId="127" priority="94" operator="between">
      <formula>-1</formula>
      <formula>1</formula>
    </cfRule>
    <cfRule type="cellIs" dxfId="126" priority="95" operator="lessThan">
      <formula>-1</formula>
    </cfRule>
    <cfRule type="cellIs" dxfId="125" priority="96" operator="greaterThan">
      <formula>1</formula>
    </cfRule>
  </conditionalFormatting>
  <conditionalFormatting sqref="AT66:AT69">
    <cfRule type="cellIs" dxfId="124" priority="91" operator="between">
      <formula>-1</formula>
      <formula>1</formula>
    </cfRule>
    <cfRule type="cellIs" dxfId="123" priority="92" operator="lessThan">
      <formula>-1</formula>
    </cfRule>
    <cfRule type="cellIs" dxfId="122" priority="93" operator="greaterThan">
      <formula>1</formula>
    </cfRule>
  </conditionalFormatting>
  <conditionalFormatting sqref="F70">
    <cfRule type="cellIs" dxfId="121" priority="88" operator="between">
      <formula>-1</formula>
      <formula>1</formula>
    </cfRule>
    <cfRule type="cellIs" dxfId="120" priority="89" operator="lessThan">
      <formula>-1</formula>
    </cfRule>
    <cfRule type="cellIs" dxfId="119" priority="90" operator="greaterThan">
      <formula>1</formula>
    </cfRule>
  </conditionalFormatting>
  <conditionalFormatting sqref="J70">
    <cfRule type="cellIs" dxfId="118" priority="85" operator="between">
      <formula>-1</formula>
      <formula>1</formula>
    </cfRule>
    <cfRule type="cellIs" dxfId="117" priority="86" operator="lessThan">
      <formula>-1</formula>
    </cfRule>
    <cfRule type="cellIs" dxfId="116" priority="87" operator="greaterThan">
      <formula>1</formula>
    </cfRule>
  </conditionalFormatting>
  <conditionalFormatting sqref="N70">
    <cfRule type="cellIs" dxfId="115" priority="82" operator="between">
      <formula>-1</formula>
      <formula>1</formula>
    </cfRule>
    <cfRule type="cellIs" dxfId="114" priority="83" operator="lessThan">
      <formula>-1</formula>
    </cfRule>
    <cfRule type="cellIs" dxfId="113" priority="84" operator="greaterThan">
      <formula>1</formula>
    </cfRule>
  </conditionalFormatting>
  <conditionalFormatting sqref="R70">
    <cfRule type="cellIs" dxfId="112" priority="79" operator="between">
      <formula>-1</formula>
      <formula>1</formula>
    </cfRule>
    <cfRule type="cellIs" dxfId="111" priority="80" operator="lessThan">
      <formula>-1</formula>
    </cfRule>
    <cfRule type="cellIs" dxfId="110" priority="81" operator="greaterThan">
      <formula>1</formula>
    </cfRule>
  </conditionalFormatting>
  <conditionalFormatting sqref="V70">
    <cfRule type="cellIs" dxfId="109" priority="76" operator="between">
      <formula>-1</formula>
      <formula>1</formula>
    </cfRule>
    <cfRule type="cellIs" dxfId="108" priority="77" operator="lessThan">
      <formula>-1</formula>
    </cfRule>
    <cfRule type="cellIs" dxfId="107" priority="78" operator="greaterThan">
      <formula>1</formula>
    </cfRule>
  </conditionalFormatting>
  <conditionalFormatting sqref="Z70">
    <cfRule type="cellIs" dxfId="106" priority="73" operator="between">
      <formula>-1</formula>
      <formula>1</formula>
    </cfRule>
    <cfRule type="cellIs" dxfId="105" priority="74" operator="lessThan">
      <formula>-1</formula>
    </cfRule>
    <cfRule type="cellIs" dxfId="104" priority="75" operator="greaterThan">
      <formula>1</formula>
    </cfRule>
  </conditionalFormatting>
  <conditionalFormatting sqref="AL70">
    <cfRule type="cellIs" dxfId="103" priority="61" operator="between">
      <formula>-1</formula>
      <formula>1</formula>
    </cfRule>
    <cfRule type="cellIs" dxfId="102" priority="62" operator="lessThan">
      <formula>-1</formula>
    </cfRule>
    <cfRule type="cellIs" dxfId="101" priority="63" operator="greaterThan">
      <formula>1</formula>
    </cfRule>
  </conditionalFormatting>
  <conditionalFormatting sqref="AH70">
    <cfRule type="cellIs" dxfId="100" priority="64" operator="between">
      <formula>-1</formula>
      <formula>1</formula>
    </cfRule>
    <cfRule type="cellIs" dxfId="99" priority="65" operator="lessThan">
      <formula>-1</formula>
    </cfRule>
    <cfRule type="cellIs" dxfId="98" priority="66" operator="greaterThan">
      <formula>1</formula>
    </cfRule>
  </conditionalFormatting>
  <conditionalFormatting sqref="AP70">
    <cfRule type="cellIs" dxfId="97" priority="58" operator="between">
      <formula>-1</formula>
      <formula>1</formula>
    </cfRule>
    <cfRule type="cellIs" dxfId="96" priority="59" operator="lessThan">
      <formula>-1</formula>
    </cfRule>
    <cfRule type="cellIs" dxfId="95" priority="60" operator="greaterThan">
      <formula>1</formula>
    </cfRule>
  </conditionalFormatting>
  <conditionalFormatting sqref="AT70">
    <cfRule type="cellIs" dxfId="94" priority="55" operator="between">
      <formula>-1</formula>
      <formula>1</formula>
    </cfRule>
    <cfRule type="cellIs" dxfId="93" priority="56" operator="lessThan">
      <formula>-1</formula>
    </cfRule>
    <cfRule type="cellIs" dxfId="92" priority="57" operator="greaterThan">
      <formula>1</formula>
    </cfRule>
  </conditionalFormatting>
  <conditionalFormatting sqref="AX66:AX70">
    <cfRule type="cellIs" dxfId="91" priority="52" operator="between">
      <formula>-1</formula>
      <formula>1</formula>
    </cfRule>
    <cfRule type="cellIs" dxfId="90" priority="53" operator="lessThan">
      <formula>-1</formula>
    </cfRule>
    <cfRule type="cellIs" dxfId="89" priority="54" operator="greaterThan">
      <formula>1</formula>
    </cfRule>
  </conditionalFormatting>
  <conditionalFormatting sqref="BB66:BB70">
    <cfRule type="cellIs" dxfId="88" priority="46" operator="between">
      <formula>-1</formula>
      <formula>1</formula>
    </cfRule>
    <cfRule type="cellIs" dxfId="87" priority="47" operator="lessThan">
      <formula>-1</formula>
    </cfRule>
    <cfRule type="cellIs" dxfId="86" priority="48" operator="greaterThan">
      <formula>1</formula>
    </cfRule>
  </conditionalFormatting>
  <conditionalFormatting sqref="AL60 AH60 AD60 Z60 V60 R60 N60 J60 F60 AP60 AT60 AX60 BB60">
    <cfRule type="cellIs" dxfId="85" priority="40" operator="between">
      <formula>-1</formula>
      <formula>1</formula>
    </cfRule>
    <cfRule type="cellIs" dxfId="84" priority="41" operator="lessThan">
      <formula>-1</formula>
    </cfRule>
    <cfRule type="cellIs" dxfId="83" priority="42" operator="greaterThan">
      <formula>1</formula>
    </cfRule>
  </conditionalFormatting>
  <conditionalFormatting sqref="AD71">
    <cfRule type="cellIs" dxfId="82" priority="37" operator="between">
      <formula>-1</formula>
      <formula>1</formula>
    </cfRule>
    <cfRule type="cellIs" dxfId="81" priority="38" operator="lessThan">
      <formula>-1</formula>
    </cfRule>
    <cfRule type="cellIs" dxfId="80" priority="39" operator="greaterThan">
      <formula>1</formula>
    </cfRule>
  </conditionalFormatting>
  <conditionalFormatting sqref="F71">
    <cfRule type="cellIs" dxfId="79" priority="34" operator="between">
      <formula>-1</formula>
      <formula>1</formula>
    </cfRule>
    <cfRule type="cellIs" dxfId="78" priority="35" operator="lessThan">
      <formula>-1</formula>
    </cfRule>
    <cfRule type="cellIs" dxfId="77" priority="36" operator="greaterThan">
      <formula>1</formula>
    </cfRule>
  </conditionalFormatting>
  <conditionalFormatting sqref="J71">
    <cfRule type="cellIs" dxfId="76" priority="31" operator="between">
      <formula>-1</formula>
      <formula>1</formula>
    </cfRule>
    <cfRule type="cellIs" dxfId="75" priority="32" operator="lessThan">
      <formula>-1</formula>
    </cfRule>
    <cfRule type="cellIs" dxfId="74" priority="33" operator="greaterThan">
      <formula>1</formula>
    </cfRule>
  </conditionalFormatting>
  <conditionalFormatting sqref="N71">
    <cfRule type="cellIs" dxfId="73" priority="28" operator="between">
      <formula>-1</formula>
      <formula>1</formula>
    </cfRule>
    <cfRule type="cellIs" dxfId="72" priority="29" operator="lessThan">
      <formula>-1</formula>
    </cfRule>
    <cfRule type="cellIs" dxfId="71" priority="30" operator="greaterThan">
      <formula>1</formula>
    </cfRule>
  </conditionalFormatting>
  <conditionalFormatting sqref="R71">
    <cfRule type="cellIs" dxfId="70" priority="25" operator="between">
      <formula>-1</formula>
      <formula>1</formula>
    </cfRule>
    <cfRule type="cellIs" dxfId="69" priority="26" operator="lessThan">
      <formula>-1</formula>
    </cfRule>
    <cfRule type="cellIs" dxfId="68" priority="27" operator="greaterThan">
      <formula>1</formula>
    </cfRule>
  </conditionalFormatting>
  <conditionalFormatting sqref="V71">
    <cfRule type="cellIs" dxfId="67" priority="22" operator="between">
      <formula>-1</formula>
      <formula>1</formula>
    </cfRule>
    <cfRule type="cellIs" dxfId="66" priority="23" operator="lessThan">
      <formula>-1</formula>
    </cfRule>
    <cfRule type="cellIs" dxfId="65" priority="24" operator="greaterThan">
      <formula>1</formula>
    </cfRule>
  </conditionalFormatting>
  <conditionalFormatting sqref="Z71">
    <cfRule type="cellIs" dxfId="64" priority="19" operator="between">
      <formula>-1</formula>
      <formula>1</formula>
    </cfRule>
    <cfRule type="cellIs" dxfId="63" priority="20" operator="lessThan">
      <formula>-1</formula>
    </cfRule>
    <cfRule type="cellIs" dxfId="62" priority="21" operator="greaterThan">
      <formula>1</formula>
    </cfRule>
  </conditionalFormatting>
  <conditionalFormatting sqref="AL71">
    <cfRule type="cellIs" dxfId="61" priority="13" operator="between">
      <formula>-1</formula>
      <formula>1</formula>
    </cfRule>
    <cfRule type="cellIs" dxfId="60" priority="14" operator="lessThan">
      <formula>-1</formula>
    </cfRule>
    <cfRule type="cellIs" dxfId="59" priority="15" operator="greaterThan">
      <formula>1</formula>
    </cfRule>
  </conditionalFormatting>
  <conditionalFormatting sqref="AH71">
    <cfRule type="cellIs" dxfId="58" priority="16" operator="between">
      <formula>-1</formula>
      <formula>1</formula>
    </cfRule>
    <cfRule type="cellIs" dxfId="57" priority="17" operator="lessThan">
      <formula>-1</formula>
    </cfRule>
    <cfRule type="cellIs" dxfId="56" priority="18" operator="greaterThan">
      <formula>1</formula>
    </cfRule>
  </conditionalFormatting>
  <conditionalFormatting sqref="AP71">
    <cfRule type="cellIs" dxfId="55" priority="10" operator="between">
      <formula>-1</formula>
      <formula>1</formula>
    </cfRule>
    <cfRule type="cellIs" dxfId="54" priority="11" operator="lessThan">
      <formula>-1</formula>
    </cfRule>
    <cfRule type="cellIs" dxfId="53" priority="12" operator="greaterThan">
      <formula>1</formula>
    </cfRule>
  </conditionalFormatting>
  <conditionalFormatting sqref="AT71">
    <cfRule type="cellIs" dxfId="52" priority="7" operator="between">
      <formula>-1</formula>
      <formula>1</formula>
    </cfRule>
    <cfRule type="cellIs" dxfId="51" priority="8" operator="lessThan">
      <formula>-1</formula>
    </cfRule>
    <cfRule type="cellIs" dxfId="50" priority="9" operator="greaterThan">
      <formula>1</formula>
    </cfRule>
  </conditionalFormatting>
  <conditionalFormatting sqref="AX71">
    <cfRule type="cellIs" dxfId="49" priority="4" operator="between">
      <formula>-1</formula>
      <formula>1</formula>
    </cfRule>
    <cfRule type="cellIs" dxfId="48" priority="5" operator="lessThan">
      <formula>-1</formula>
    </cfRule>
    <cfRule type="cellIs" dxfId="47" priority="6" operator="greaterThan">
      <formula>1</formula>
    </cfRule>
  </conditionalFormatting>
  <conditionalFormatting sqref="BB71">
    <cfRule type="cellIs" dxfId="46" priority="1" operator="between">
      <formula>-1</formula>
      <formula>1</formula>
    </cfRule>
    <cfRule type="cellIs" dxfId="45" priority="2" operator="lessThan">
      <formula>-1</formula>
    </cfRule>
    <cfRule type="cellIs" dxfId="44" priority="3" operator="greaterThan">
      <formula>1</formula>
    </cfRule>
  </conditionalFormatting>
  <hyperlinks>
    <hyperlink ref="I1" r:id="rId1" display="https://dev.azure.com/MetLife-Investments/Core Data Services/_queries/query-edit/1defbd4d-1c5e-46b0-9851-798492d34844/" xr:uid="{DC9DCDDF-5487-4BFB-82F7-25A5F1EF725C}"/>
  </hyperlinks>
  <pageMargins left="0.7" right="0.7" top="0.75" bottom="0.75" header="0.3" footer="0.3"/>
  <pageSetup orientation="portrait" horizontalDpi="90" verticalDpi="9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9730-01D8-4D9B-992E-85695C4FC148}">
  <dimension ref="A1:R63"/>
  <sheetViews>
    <sheetView topLeftCell="A48" workbookViewId="0">
      <selection activeCell="A57" sqref="A57"/>
    </sheetView>
  </sheetViews>
  <sheetFormatPr defaultRowHeight="15" x14ac:dyDescent="0.25"/>
  <cols>
    <col min="1" max="1" width="22.5703125" customWidth="1"/>
  </cols>
  <sheetData>
    <row r="1" spans="1:18" ht="150.75" thickBot="1" x14ac:dyDescent="0.3">
      <c r="A1" s="252"/>
      <c r="B1" s="4"/>
      <c r="C1" s="111"/>
      <c r="D1" s="104"/>
      <c r="E1" s="241" t="s">
        <v>421</v>
      </c>
      <c r="F1" s="239" t="s">
        <v>422</v>
      </c>
      <c r="G1" s="240" t="s">
        <v>423</v>
      </c>
      <c r="M1" s="4" t="s">
        <v>350</v>
      </c>
      <c r="N1" s="4" t="s">
        <v>406</v>
      </c>
      <c r="O1" s="4" t="s">
        <v>424</v>
      </c>
      <c r="P1" s="4" t="s">
        <v>425</v>
      </c>
      <c r="Q1" s="4" t="s">
        <v>426</v>
      </c>
      <c r="R1" s="225" t="s">
        <v>427</v>
      </c>
    </row>
    <row r="2" spans="1:18" ht="15.75" thickBot="1" x14ac:dyDescent="0.3">
      <c r="A2" s="508" t="s">
        <v>389</v>
      </c>
      <c r="B2" s="275" t="s">
        <v>322</v>
      </c>
      <c r="C2" s="257" t="s">
        <v>428</v>
      </c>
      <c r="D2" s="266">
        <v>0</v>
      </c>
      <c r="E2" s="258">
        <f>VLOOKUP($B$2, ResourceAllocationByPriority!$B$23:$C34, 2, FALSE)*$D2</f>
        <v>0</v>
      </c>
      <c r="F2" s="259" cm="1">
        <f t="array" ref="F2">SUMPRODUCT(--(ResourceAllocationByPriority!$B$23:$B$34=$B$2), ResourceAllocationByPriority!$D$23:$D$34)</f>
        <v>0</v>
      </c>
      <c r="G2" s="260">
        <f t="shared" ref="G2:G49" si="0">$E2-$F2</f>
        <v>0</v>
      </c>
      <c r="L2" s="509" t="s">
        <v>429</v>
      </c>
      <c r="M2" s="4" t="s">
        <v>430</v>
      </c>
      <c r="N2" s="4" t="s">
        <v>417</v>
      </c>
      <c r="O2" s="103">
        <v>0.5</v>
      </c>
      <c r="P2" s="4">
        <f>ResourceAllocationByPriority!$J$3*O2</f>
        <v>23.2</v>
      </c>
      <c r="Q2" s="4">
        <v>30</v>
      </c>
      <c r="R2" s="268">
        <f t="shared" ref="R2:R24" si="1">P2-Q2</f>
        <v>-6.8000000000000007</v>
      </c>
    </row>
    <row r="3" spans="1:18" ht="15.75" thickBot="1" x14ac:dyDescent="0.3">
      <c r="A3" s="508"/>
      <c r="B3" s="276"/>
      <c r="C3" s="254" t="s">
        <v>364</v>
      </c>
      <c r="D3" s="238">
        <v>0.5</v>
      </c>
      <c r="E3" s="255">
        <f>VLOOKUP($B$2, ResourceAllocationByPriority!$B$23:$C35, 2, FALSE)*$D3</f>
        <v>22</v>
      </c>
      <c r="F3" s="259" cm="1">
        <f t="array" ref="F3">SUMPRODUCT(--(ResourceAllocationByPriority!$B$23:$B$34=$B$2), ResourceAllocationByPriority!$E$23:$E$34)</f>
        <v>0</v>
      </c>
      <c r="G3" s="261">
        <f t="shared" si="0"/>
        <v>22</v>
      </c>
      <c r="L3" s="509"/>
      <c r="M3" s="4" t="s">
        <v>430</v>
      </c>
      <c r="N3" s="4" t="s">
        <v>418</v>
      </c>
      <c r="O3" s="103">
        <v>0.4</v>
      </c>
      <c r="P3" s="4">
        <f>ResourceAllocationByPriority!$J$3*O3</f>
        <v>18.559999999999999</v>
      </c>
      <c r="Q3" s="4">
        <v>1</v>
      </c>
      <c r="R3" s="4">
        <f t="shared" si="1"/>
        <v>17.559999999999999</v>
      </c>
    </row>
    <row r="4" spans="1:18" ht="15.75" thickBot="1" x14ac:dyDescent="0.3">
      <c r="A4" s="508"/>
      <c r="B4" s="276"/>
      <c r="C4" s="254" t="s">
        <v>366</v>
      </c>
      <c r="D4" s="238">
        <v>0.25</v>
      </c>
      <c r="E4" s="255" t="e">
        <f>VLOOKUP($B$2, ResourceAllocationByPriority!$I$23:$J36, 2, FALSE)*$D4</f>
        <v>#N/A</v>
      </c>
      <c r="F4" s="259" cm="1">
        <f t="array" ref="F4">SUMPRODUCT(--(ResourceAllocationByPriority!$B$23:$B$34=$B$2), ResourceAllocationByPriority!$F$23:$F$34)</f>
        <v>0</v>
      </c>
      <c r="G4" s="261" t="e">
        <f t="shared" si="0"/>
        <v>#N/A</v>
      </c>
      <c r="L4" s="509"/>
      <c r="M4" s="4" t="s">
        <v>430</v>
      </c>
      <c r="N4" s="4" t="s">
        <v>364</v>
      </c>
      <c r="O4" s="103">
        <v>0.1</v>
      </c>
      <c r="P4" s="4">
        <f>ResourceAllocationByPriority!$J$3*O4</f>
        <v>4.6399999999999997</v>
      </c>
      <c r="Q4" s="4">
        <v>7</v>
      </c>
      <c r="R4" s="268">
        <f t="shared" si="1"/>
        <v>-2.3600000000000003</v>
      </c>
    </row>
    <row r="5" spans="1:18" ht="15.75" thickBot="1" x14ac:dyDescent="0.3">
      <c r="A5" s="508"/>
      <c r="B5" s="277"/>
      <c r="C5" s="262" t="s">
        <v>363</v>
      </c>
      <c r="D5" s="247">
        <v>0.25</v>
      </c>
      <c r="E5" s="263" t="e">
        <f>VLOOKUP($B$2, ResourceAllocationByPriority!$I$23:$J37, 2, FALSE)*$D5</f>
        <v>#N/A</v>
      </c>
      <c r="F5" s="259" cm="1">
        <f t="array" ref="F5">SUMPRODUCT(--(ResourceAllocationByPriority!$B$23:$B$34=$B$2), ResourceAllocationByPriority!$D$23:$D$34)</f>
        <v>0</v>
      </c>
      <c r="G5" s="265" t="e">
        <f t="shared" si="0"/>
        <v>#N/A</v>
      </c>
      <c r="L5" s="509"/>
      <c r="M5" s="4" t="s">
        <v>430</v>
      </c>
      <c r="N5" s="4" t="s">
        <v>366</v>
      </c>
      <c r="O5" s="103">
        <v>0</v>
      </c>
      <c r="P5" s="4">
        <f>ResourceAllocationByPriority!$J$3*O5</f>
        <v>0</v>
      </c>
      <c r="Q5" s="205"/>
      <c r="R5" s="4">
        <f t="shared" si="1"/>
        <v>0</v>
      </c>
    </row>
    <row r="6" spans="1:18" x14ac:dyDescent="0.25">
      <c r="A6" s="508"/>
      <c r="B6" s="278" t="s">
        <v>324</v>
      </c>
      <c r="C6" s="242" t="s">
        <v>428</v>
      </c>
      <c r="D6" s="266">
        <v>0.2</v>
      </c>
      <c r="E6" s="258">
        <f>VLOOKUP($B$6, ResourceAllocationByPriority!$B$23:$C$34, 2, FALSE)*$D6</f>
        <v>8.8000000000000007</v>
      </c>
      <c r="F6" s="259" cm="1">
        <f t="array" ref="F6">SUMPRODUCT(--(ResourceAllocationByPriority!$B$23:$B$34=$B6), ResourceAllocationByPriority!$D$23:$D$34)</f>
        <v>0</v>
      </c>
      <c r="G6" s="243">
        <f t="shared" si="0"/>
        <v>8.8000000000000007</v>
      </c>
      <c r="L6" s="509"/>
      <c r="M6" s="4" t="s">
        <v>257</v>
      </c>
      <c r="N6" s="4" t="s">
        <v>361</v>
      </c>
      <c r="O6" s="103">
        <v>0.4</v>
      </c>
      <c r="P6" s="4">
        <f>ResourceAllocationByPriority!$J$4*O6</f>
        <v>18.560000000000002</v>
      </c>
      <c r="Q6" s="205">
        <v>7</v>
      </c>
      <c r="R6" s="4">
        <f t="shared" si="1"/>
        <v>11.560000000000002</v>
      </c>
    </row>
    <row r="7" spans="1:18" x14ac:dyDescent="0.25">
      <c r="A7" s="508"/>
      <c r="B7" s="279"/>
      <c r="C7" s="48" t="s">
        <v>364</v>
      </c>
      <c r="D7" s="238">
        <v>0.5</v>
      </c>
      <c r="E7" s="250">
        <f>VLOOKUP($B$6, ResourceAllocationByPriority!$B$23:$C$34, 2, FALSE)*$D7</f>
        <v>22</v>
      </c>
      <c r="F7" s="256">
        <f>VLOOKUP($B$6, ResourceAllocationByPriority!$B$22:$K$34, 4, FALSE)</f>
        <v>0</v>
      </c>
      <c r="G7" s="244">
        <f t="shared" si="0"/>
        <v>22</v>
      </c>
      <c r="L7" s="509"/>
      <c r="M7" s="4" t="s">
        <v>257</v>
      </c>
      <c r="N7" s="4" t="s">
        <v>366</v>
      </c>
      <c r="O7" s="103">
        <v>0.6</v>
      </c>
      <c r="P7" s="4">
        <f>ResourceAllocationByPriority!$J$4*O7</f>
        <v>27.840000000000003</v>
      </c>
      <c r="Q7" s="4">
        <v>32</v>
      </c>
      <c r="R7" s="268">
        <f t="shared" si="1"/>
        <v>-4.1599999999999966</v>
      </c>
    </row>
    <row r="8" spans="1:18" x14ac:dyDescent="0.25">
      <c r="A8" s="508"/>
      <c r="B8" s="279"/>
      <c r="C8" s="48" t="s">
        <v>366</v>
      </c>
      <c r="D8" s="238">
        <v>0.2</v>
      </c>
      <c r="E8" s="250">
        <f>VLOOKUP($B$6, ResourceAllocationByPriority!$B$23:$C$34, 2, FALSE)*$D8</f>
        <v>8.8000000000000007</v>
      </c>
      <c r="F8" s="256">
        <f>VLOOKUP($B$6, ResourceAllocationByPriority!$B$22:$K$34, 5, FALSE)</f>
        <v>0</v>
      </c>
      <c r="G8" s="244">
        <f t="shared" si="0"/>
        <v>8.8000000000000007</v>
      </c>
      <c r="L8" s="509"/>
      <c r="M8" s="4" t="s">
        <v>431</v>
      </c>
      <c r="N8" s="4" t="s">
        <v>418</v>
      </c>
      <c r="O8" s="103">
        <v>0.8</v>
      </c>
      <c r="P8" s="4">
        <f>ResourceAllocationByPriority!$J$5*O8</f>
        <v>37.760000000000005</v>
      </c>
      <c r="Q8" s="4">
        <v>15</v>
      </c>
      <c r="R8" s="4">
        <f t="shared" si="1"/>
        <v>22.760000000000005</v>
      </c>
    </row>
    <row r="9" spans="1:18" ht="15.75" thickBot="1" x14ac:dyDescent="0.3">
      <c r="A9" s="508"/>
      <c r="B9" s="280"/>
      <c r="C9" s="245" t="s">
        <v>363</v>
      </c>
      <c r="D9" s="247">
        <v>0.1</v>
      </c>
      <c r="E9" s="251">
        <f>VLOOKUP($B$6, ResourceAllocationByPriority!$B$23:$C$34, 2, FALSE)*$D9</f>
        <v>4.4000000000000004</v>
      </c>
      <c r="F9" s="264">
        <f>VLOOKUP($B$6, ResourceAllocationByPriority!$B$22:$K$34, 6, FALSE)</f>
        <v>0</v>
      </c>
      <c r="G9" s="246">
        <f t="shared" si="0"/>
        <v>4.4000000000000004</v>
      </c>
      <c r="L9" s="509"/>
      <c r="M9" s="4" t="s">
        <v>431</v>
      </c>
      <c r="N9" s="4" t="s">
        <v>366</v>
      </c>
      <c r="O9" s="103">
        <v>0.2</v>
      </c>
      <c r="P9" s="4">
        <f>ResourceAllocationByPriority!$J$5*O9</f>
        <v>9.4400000000000013</v>
      </c>
      <c r="Q9" s="4">
        <v>5</v>
      </c>
      <c r="R9" s="4">
        <f t="shared" si="1"/>
        <v>4.4400000000000013</v>
      </c>
    </row>
    <row r="10" spans="1:18" ht="15.75" thickBot="1" x14ac:dyDescent="0.3">
      <c r="A10" s="508"/>
      <c r="B10" s="278" t="s">
        <v>325</v>
      </c>
      <c r="C10" s="242" t="s">
        <v>428</v>
      </c>
      <c r="D10" s="266">
        <v>0</v>
      </c>
      <c r="E10" s="258" t="e">
        <f>VLOOKUP($B$10, ResourceAllocationByPriority!$I$22:$J38, 2, FALSE)*$D10</f>
        <v>#N/A</v>
      </c>
      <c r="F10" s="248">
        <f>VLOOKUP($B$10, ResourceAllocationByPriority!$B$22:$K$34, 3, FALSE)</f>
        <v>0</v>
      </c>
      <c r="G10" s="243" t="e">
        <f t="shared" si="0"/>
        <v>#N/A</v>
      </c>
      <c r="L10" s="509"/>
      <c r="M10" s="4" t="s">
        <v>431</v>
      </c>
      <c r="N10" s="4" t="s">
        <v>361</v>
      </c>
      <c r="O10" s="103">
        <v>0.8</v>
      </c>
      <c r="P10" s="4">
        <f>ResourceAllocationByPriority!$J$5*O10</f>
        <v>37.760000000000005</v>
      </c>
      <c r="Q10" s="224">
        <v>10</v>
      </c>
      <c r="R10" s="4">
        <f t="shared" si="1"/>
        <v>27.760000000000005</v>
      </c>
    </row>
    <row r="11" spans="1:18" ht="15.75" thickBot="1" x14ac:dyDescent="0.3">
      <c r="A11" s="508"/>
      <c r="B11" s="279"/>
      <c r="C11" s="48" t="s">
        <v>364</v>
      </c>
      <c r="D11" s="238">
        <v>0.5</v>
      </c>
      <c r="E11" s="250" t="e">
        <f>VLOOKUP($B$10, ResourceAllocationByPriority!$I$22:$J38, 2, FALSE)*$D11</f>
        <v>#N/A</v>
      </c>
      <c r="F11" s="248">
        <f>VLOOKUP($B$10, ResourceAllocationByPriority!$B$22:$K$34, 4, FALSE)</f>
        <v>0</v>
      </c>
      <c r="G11" s="244" t="e">
        <f t="shared" si="0"/>
        <v>#N/A</v>
      </c>
      <c r="L11" s="509"/>
      <c r="M11" s="4" t="s">
        <v>255</v>
      </c>
      <c r="N11" s="4" t="s">
        <v>432</v>
      </c>
      <c r="O11" s="103">
        <v>0.2</v>
      </c>
      <c r="P11" s="4">
        <f>ResourceAllocationByPriority!$J$5*O11</f>
        <v>9.4400000000000013</v>
      </c>
      <c r="Q11" s="4">
        <v>3</v>
      </c>
      <c r="R11" s="4">
        <f t="shared" si="1"/>
        <v>6.4400000000000013</v>
      </c>
    </row>
    <row r="12" spans="1:18" ht="15.75" thickBot="1" x14ac:dyDescent="0.3">
      <c r="A12" s="508"/>
      <c r="B12" s="279"/>
      <c r="C12" s="48" t="s">
        <v>366</v>
      </c>
      <c r="D12" s="238">
        <v>0</v>
      </c>
      <c r="E12" s="250" t="e">
        <f>VLOOKUP($B$10, ResourceAllocationByPriority!$I$22:$J38, 2, FALSE)*$D12</f>
        <v>#N/A</v>
      </c>
      <c r="F12" s="248">
        <f>VLOOKUP($B$10, ResourceAllocationByPriority!$B$22:$K$34, 5, FALSE)</f>
        <v>0</v>
      </c>
      <c r="G12" s="244" t="e">
        <f t="shared" si="0"/>
        <v>#N/A</v>
      </c>
      <c r="L12" s="509"/>
      <c r="M12" s="4" t="s">
        <v>255</v>
      </c>
      <c r="N12" s="4" t="s">
        <v>433</v>
      </c>
      <c r="O12" s="103">
        <v>0.8</v>
      </c>
      <c r="P12" s="4">
        <f>ResourceAllocationByPriority!$J$5*O12</f>
        <v>37.760000000000005</v>
      </c>
      <c r="Q12" s="4">
        <v>36</v>
      </c>
      <c r="R12" s="268">
        <f t="shared" si="1"/>
        <v>1.7600000000000051</v>
      </c>
    </row>
    <row r="13" spans="1:18" ht="15.75" thickBot="1" x14ac:dyDescent="0.3">
      <c r="A13" s="508"/>
      <c r="B13" s="280"/>
      <c r="C13" s="245" t="s">
        <v>363</v>
      </c>
      <c r="D13" s="247">
        <v>0.5</v>
      </c>
      <c r="E13" s="251" t="e">
        <f>VLOOKUP($B$10, ResourceAllocationByPriority!$I$22:$J38, 2, FALSE)*$D13</f>
        <v>#N/A</v>
      </c>
      <c r="F13" s="248">
        <f>VLOOKUP($B$10, ResourceAllocationByPriority!$B$22:$K$34, 6, FALSE)</f>
        <v>0</v>
      </c>
      <c r="G13" s="246" t="e">
        <f t="shared" si="0"/>
        <v>#N/A</v>
      </c>
      <c r="L13" s="509"/>
      <c r="M13" s="4" t="s">
        <v>434</v>
      </c>
      <c r="N13" s="4" t="s">
        <v>432</v>
      </c>
      <c r="O13" s="103">
        <v>1</v>
      </c>
      <c r="P13" s="4">
        <f>ResourceAllocationByPriority!$J$5*O13</f>
        <v>47.2</v>
      </c>
      <c r="Q13" s="4">
        <v>17</v>
      </c>
      <c r="R13" s="4">
        <f t="shared" si="1"/>
        <v>30.200000000000003</v>
      </c>
    </row>
    <row r="14" spans="1:18" ht="15.75" thickBot="1" x14ac:dyDescent="0.3">
      <c r="A14" s="508"/>
      <c r="B14" s="278" t="s">
        <v>326</v>
      </c>
      <c r="C14" s="242" t="s">
        <v>428</v>
      </c>
      <c r="D14" s="266">
        <v>0.1</v>
      </c>
      <c r="E14" s="258" t="e">
        <f>VLOOKUP($B$14, ResourceAllocationByPriority!$I$22:$J38, 2, FALSE)*$D14</f>
        <v>#N/A</v>
      </c>
      <c r="F14" s="248">
        <f>VLOOKUP($B$14, ResourceAllocationByPriority!$B$22:$K$34, 3, FALSE)</f>
        <v>0</v>
      </c>
      <c r="G14" s="243" t="e">
        <f t="shared" si="0"/>
        <v>#N/A</v>
      </c>
      <c r="L14" s="509"/>
      <c r="M14" s="4" t="s">
        <v>435</v>
      </c>
      <c r="N14" s="4" t="s">
        <v>364</v>
      </c>
      <c r="O14" s="103">
        <v>0.3</v>
      </c>
      <c r="P14" s="4">
        <f>ResourceAllocationByPriority!$J$5*O14</f>
        <v>14.16</v>
      </c>
      <c r="Q14" s="4">
        <v>16</v>
      </c>
      <c r="R14" s="268">
        <f t="shared" si="1"/>
        <v>-1.8399999999999999</v>
      </c>
    </row>
    <row r="15" spans="1:18" ht="15.75" thickBot="1" x14ac:dyDescent="0.3">
      <c r="A15" s="508"/>
      <c r="B15" s="279"/>
      <c r="C15" s="48" t="s">
        <v>364</v>
      </c>
      <c r="D15" s="238">
        <v>0</v>
      </c>
      <c r="E15" s="250" t="e">
        <f>VLOOKUP($B$14, ResourceAllocationByPriority!$I$22:$J38, 2, FALSE)*$D15</f>
        <v>#N/A</v>
      </c>
      <c r="F15" s="248">
        <f>VLOOKUP($B$14, ResourceAllocationByPriority!$B$22:$K$34, 4, FALSE)</f>
        <v>0</v>
      </c>
      <c r="G15" s="244" t="e">
        <f t="shared" si="0"/>
        <v>#N/A</v>
      </c>
      <c r="L15" s="509"/>
      <c r="M15" s="4" t="s">
        <v>435</v>
      </c>
      <c r="N15" s="4" t="s">
        <v>433</v>
      </c>
      <c r="O15" s="103">
        <v>0.2</v>
      </c>
      <c r="P15" s="4">
        <f>ResourceAllocationByPriority!$J$5*O15</f>
        <v>9.4400000000000013</v>
      </c>
      <c r="Q15" s="4">
        <v>10</v>
      </c>
      <c r="R15" s="268">
        <f t="shared" si="1"/>
        <v>-0.55999999999999872</v>
      </c>
    </row>
    <row r="16" spans="1:18" ht="15.75" thickBot="1" x14ac:dyDescent="0.3">
      <c r="A16" s="508"/>
      <c r="B16" s="279"/>
      <c r="C16" s="48" t="s">
        <v>366</v>
      </c>
      <c r="D16" s="238">
        <v>0</v>
      </c>
      <c r="E16" s="250" t="e">
        <f>VLOOKUP($B$14, ResourceAllocationByPriority!$I$22:$J38, 2, FALSE)*$D16</f>
        <v>#N/A</v>
      </c>
      <c r="F16" s="248">
        <f>VLOOKUP($B$14, ResourceAllocationByPriority!$B$22:$K$34, 5, FALSE)</f>
        <v>0</v>
      </c>
      <c r="G16" s="244" t="e">
        <f t="shared" si="0"/>
        <v>#N/A</v>
      </c>
      <c r="L16" s="509"/>
      <c r="M16" s="4" t="s">
        <v>435</v>
      </c>
      <c r="N16" s="4" t="s">
        <v>361</v>
      </c>
      <c r="O16" s="103">
        <v>0.5</v>
      </c>
      <c r="P16" s="4">
        <f>ResourceAllocationByPriority!$J$5*O16</f>
        <v>23.6</v>
      </c>
      <c r="Q16" s="224">
        <v>16</v>
      </c>
      <c r="R16" s="4">
        <f t="shared" si="1"/>
        <v>7.6000000000000014</v>
      </c>
    </row>
    <row r="17" spans="1:18" ht="15.75" thickBot="1" x14ac:dyDescent="0.3">
      <c r="A17" s="508"/>
      <c r="B17" s="280"/>
      <c r="C17" s="245" t="s">
        <v>363</v>
      </c>
      <c r="D17" s="247">
        <v>0.9</v>
      </c>
      <c r="E17" s="251" t="e">
        <f>VLOOKUP($B$14, ResourceAllocationByPriority!$I$22:$J38, 2, FALSE)*$D17</f>
        <v>#N/A</v>
      </c>
      <c r="F17" s="248">
        <f>VLOOKUP($B$14, ResourceAllocationByPriority!$B$22:$K$34,6, FALSE)</f>
        <v>0</v>
      </c>
      <c r="G17" s="246" t="e">
        <f t="shared" si="0"/>
        <v>#N/A</v>
      </c>
      <c r="L17" s="509"/>
      <c r="M17" s="4" t="s">
        <v>436</v>
      </c>
      <c r="N17" s="4" t="s">
        <v>417</v>
      </c>
      <c r="O17" s="103">
        <v>0.2</v>
      </c>
      <c r="P17" s="4">
        <f>ResourceAllocationByPriority!$J$5*O17</f>
        <v>9.4400000000000013</v>
      </c>
      <c r="Q17" s="4">
        <v>6</v>
      </c>
      <c r="R17" s="4">
        <f t="shared" si="1"/>
        <v>3.4400000000000013</v>
      </c>
    </row>
    <row r="18" spans="1:18" ht="15.75" thickBot="1" x14ac:dyDescent="0.3">
      <c r="A18" s="508"/>
      <c r="B18" s="278" t="s">
        <v>327</v>
      </c>
      <c r="C18" s="242" t="s">
        <v>428</v>
      </c>
      <c r="D18" s="266">
        <v>0.25</v>
      </c>
      <c r="E18" s="258" t="e">
        <f>VLOOKUP($B$18, ResourceAllocationByPriority!$I$22:$J38, 2, FALSE)*$D18</f>
        <v>#N/A</v>
      </c>
      <c r="F18" s="248">
        <f>VLOOKUP($B$18, ResourceAllocationByPriority!$B$22:$K$34, 3, FALSE)</f>
        <v>0</v>
      </c>
      <c r="G18" s="243" t="e">
        <f t="shared" si="0"/>
        <v>#N/A</v>
      </c>
      <c r="L18" s="509"/>
      <c r="M18" s="4" t="s">
        <v>436</v>
      </c>
      <c r="N18" s="4" t="s">
        <v>433</v>
      </c>
      <c r="O18" s="103">
        <v>0.8</v>
      </c>
      <c r="P18" s="4">
        <f>ResourceAllocationByPriority!$J$5*O18</f>
        <v>37.760000000000005</v>
      </c>
      <c r="Q18" s="4">
        <v>30</v>
      </c>
      <c r="R18" s="4">
        <f t="shared" si="1"/>
        <v>7.7600000000000051</v>
      </c>
    </row>
    <row r="19" spans="1:18" ht="15.75" thickBot="1" x14ac:dyDescent="0.3">
      <c r="A19" s="508"/>
      <c r="B19" s="279"/>
      <c r="C19" s="48" t="s">
        <v>364</v>
      </c>
      <c r="D19" s="238">
        <v>0.25</v>
      </c>
      <c r="E19" s="250" t="e">
        <f>VLOOKUP($B$18, ResourceAllocationByPriority!$I$22:$J38, 2, FALSE)*$D19</f>
        <v>#N/A</v>
      </c>
      <c r="F19" s="248">
        <f>VLOOKUP($B$18, ResourceAllocationByPriority!$B$22:$K$34,4, FALSE)</f>
        <v>0</v>
      </c>
      <c r="G19" s="244" t="e">
        <f t="shared" si="0"/>
        <v>#N/A</v>
      </c>
      <c r="L19" s="509"/>
      <c r="M19" s="4" t="s">
        <v>437</v>
      </c>
      <c r="N19" s="4" t="s">
        <v>419</v>
      </c>
      <c r="O19" s="103">
        <v>0.2</v>
      </c>
      <c r="P19" s="4">
        <f>ResourceAllocationByPriority!$J$5*O19</f>
        <v>9.4400000000000013</v>
      </c>
      <c r="Q19" s="4">
        <v>4</v>
      </c>
      <c r="R19" s="4">
        <f t="shared" si="1"/>
        <v>5.4400000000000013</v>
      </c>
    </row>
    <row r="20" spans="1:18" ht="15.75" thickBot="1" x14ac:dyDescent="0.3">
      <c r="A20" s="508"/>
      <c r="B20" s="279"/>
      <c r="C20" s="48" t="s">
        <v>438</v>
      </c>
      <c r="D20" s="238">
        <v>0</v>
      </c>
      <c r="E20" s="250" t="e">
        <f>VLOOKUP($B$18, ResourceAllocationByPriority!$I$22:$J38, 2, FALSE)*$D20</f>
        <v>#N/A</v>
      </c>
      <c r="F20" s="248">
        <f>VLOOKUP($B$18, ResourceAllocationByPriority!$B$22:$K$34,5, FALSE)</f>
        <v>0</v>
      </c>
      <c r="G20" s="244" t="e">
        <f t="shared" si="0"/>
        <v>#N/A</v>
      </c>
      <c r="L20" s="509"/>
      <c r="M20" s="4" t="s">
        <v>437</v>
      </c>
      <c r="N20" s="4" t="s">
        <v>361</v>
      </c>
      <c r="O20" s="103">
        <v>0.8</v>
      </c>
      <c r="P20" s="4">
        <f>ResourceAllocationByPriority!$J$5*O20</f>
        <v>37.760000000000005</v>
      </c>
      <c r="Q20" s="4">
        <v>33</v>
      </c>
      <c r="R20" s="268">
        <f t="shared" si="1"/>
        <v>4.7600000000000051</v>
      </c>
    </row>
    <row r="21" spans="1:18" ht="15.75" thickBot="1" x14ac:dyDescent="0.3">
      <c r="A21" s="508"/>
      <c r="B21" s="280"/>
      <c r="C21" s="245" t="s">
        <v>363</v>
      </c>
      <c r="D21" s="247">
        <v>0.5</v>
      </c>
      <c r="E21" s="251" t="e">
        <f>VLOOKUP($B$18, ResourceAllocationByPriority!$I$22:$J38, 2, FALSE)*$D21</f>
        <v>#N/A</v>
      </c>
      <c r="F21" s="248">
        <f>VLOOKUP($B$18, ResourceAllocationByPriority!$B$22:$K$34, 6, FALSE)</f>
        <v>0</v>
      </c>
      <c r="G21" s="246" t="e">
        <f t="shared" si="0"/>
        <v>#N/A</v>
      </c>
      <c r="L21" s="509"/>
      <c r="M21" s="4" t="s">
        <v>439</v>
      </c>
      <c r="N21" s="4" t="s">
        <v>433</v>
      </c>
      <c r="O21" s="103">
        <v>0.7</v>
      </c>
      <c r="P21" s="4">
        <f>ResourceAllocationByPriority!$J$5*O21</f>
        <v>33.04</v>
      </c>
      <c r="Q21" s="4">
        <v>20</v>
      </c>
      <c r="R21" s="4">
        <f t="shared" si="1"/>
        <v>13.04</v>
      </c>
    </row>
    <row r="22" spans="1:18" ht="15.75" thickBot="1" x14ac:dyDescent="0.3">
      <c r="A22" s="508"/>
      <c r="B22" s="278" t="s">
        <v>328</v>
      </c>
      <c r="C22" s="242" t="s">
        <v>428</v>
      </c>
      <c r="D22" s="266">
        <v>0.5</v>
      </c>
      <c r="E22" s="249">
        <f>ResourceAllocationByPriority!$C$26*D22</f>
        <v>13.2</v>
      </c>
      <c r="F22" s="248">
        <f>VLOOKUP($B$22, ResourceAllocationByPriority!$B$22:$K$34, 3, FALSE)</f>
        <v>0</v>
      </c>
      <c r="G22" s="243">
        <f t="shared" si="0"/>
        <v>13.2</v>
      </c>
      <c r="L22" s="509"/>
      <c r="M22" s="4" t="s">
        <v>440</v>
      </c>
      <c r="N22" s="4" t="s">
        <v>364</v>
      </c>
      <c r="O22" s="103">
        <v>0.4</v>
      </c>
      <c r="P22" s="4">
        <f>ResourceAllocationByPriority!$J$5*O22</f>
        <v>18.880000000000003</v>
      </c>
      <c r="Q22" s="4">
        <v>13</v>
      </c>
      <c r="R22" s="4">
        <f t="shared" si="1"/>
        <v>5.8800000000000026</v>
      </c>
    </row>
    <row r="23" spans="1:18" ht="15.75" thickBot="1" x14ac:dyDescent="0.3">
      <c r="A23" s="508"/>
      <c r="B23" s="279"/>
      <c r="C23" s="48" t="s">
        <v>364</v>
      </c>
      <c r="D23" s="238">
        <v>0</v>
      </c>
      <c r="E23" s="250">
        <f>ResourceAllocationByPriority!$C$26*D23</f>
        <v>0</v>
      </c>
      <c r="F23" s="248">
        <f>VLOOKUP($B$22, ResourceAllocationByPriority!$B$22:$K$34, 4, FALSE)</f>
        <v>0</v>
      </c>
      <c r="G23" s="244">
        <f t="shared" si="0"/>
        <v>0</v>
      </c>
      <c r="L23" s="509"/>
      <c r="M23" s="4" t="s">
        <v>440</v>
      </c>
      <c r="N23" s="4" t="s">
        <v>433</v>
      </c>
      <c r="O23" s="103">
        <v>0.2</v>
      </c>
      <c r="P23" s="4">
        <f>ResourceAllocationByPriority!$J$5*O23</f>
        <v>9.4400000000000013</v>
      </c>
      <c r="Q23" s="4">
        <v>9</v>
      </c>
      <c r="R23" s="268">
        <f t="shared" si="1"/>
        <v>0.44000000000000128</v>
      </c>
    </row>
    <row r="24" spans="1:18" ht="15.75" thickBot="1" x14ac:dyDescent="0.3">
      <c r="A24" s="508"/>
      <c r="B24" s="279"/>
      <c r="C24" s="48" t="s">
        <v>438</v>
      </c>
      <c r="D24" s="238">
        <v>0.5</v>
      </c>
      <c r="E24" s="250">
        <f>ResourceAllocationByPriority!$C$26*D24</f>
        <v>13.2</v>
      </c>
      <c r="F24" s="248">
        <f>VLOOKUP($B$22, ResourceAllocationByPriority!$B$22:$K$34,5, FALSE)</f>
        <v>0</v>
      </c>
      <c r="G24" s="244">
        <f t="shared" si="0"/>
        <v>13.2</v>
      </c>
      <c r="L24" s="509"/>
      <c r="M24" s="4" t="s">
        <v>440</v>
      </c>
      <c r="N24" s="4" t="s">
        <v>361</v>
      </c>
      <c r="O24" s="103">
        <v>0.4</v>
      </c>
      <c r="P24" s="4">
        <f>ResourceAllocationByPriority!$J$5*O24</f>
        <v>18.880000000000003</v>
      </c>
      <c r="Q24" s="4">
        <v>15</v>
      </c>
      <c r="R24" s="4">
        <f t="shared" si="1"/>
        <v>3.8800000000000026</v>
      </c>
    </row>
    <row r="25" spans="1:18" ht="15.75" thickBot="1" x14ac:dyDescent="0.3">
      <c r="A25" s="508"/>
      <c r="B25" s="280"/>
      <c r="C25" s="245" t="s">
        <v>363</v>
      </c>
      <c r="D25" s="247">
        <v>0</v>
      </c>
      <c r="E25" s="251">
        <f>ResourceAllocationByPriority!$C$26*D25</f>
        <v>0</v>
      </c>
      <c r="F25" s="248">
        <f>VLOOKUP($B$22, ResourceAllocationByPriority!$B$22:$K$34, 6, FALSE)</f>
        <v>0</v>
      </c>
      <c r="G25" s="246">
        <f t="shared" si="0"/>
        <v>0</v>
      </c>
    </row>
    <row r="26" spans="1:18" ht="15.75" thickBot="1" x14ac:dyDescent="0.3">
      <c r="A26" s="508"/>
      <c r="B26" s="278" t="s">
        <v>329</v>
      </c>
      <c r="C26" s="242" t="s">
        <v>362</v>
      </c>
      <c r="D26" s="266">
        <v>0</v>
      </c>
      <c r="E26" s="249">
        <f>ResourceAllocationByPriority!$C$26*D26</f>
        <v>0</v>
      </c>
      <c r="F26" s="248">
        <f>VLOOKUP($B$26, ResourceAllocationByPriority!$B$22:$K$34, 3, FALSE)</f>
        <v>0</v>
      </c>
      <c r="G26" s="243">
        <f t="shared" si="0"/>
        <v>0</v>
      </c>
    </row>
    <row r="27" spans="1:18" ht="15.75" thickBot="1" x14ac:dyDescent="0.3">
      <c r="A27" s="508"/>
      <c r="B27" s="279"/>
      <c r="C27" s="48" t="s">
        <v>364</v>
      </c>
      <c r="D27" s="238">
        <v>0.5</v>
      </c>
      <c r="E27" s="250">
        <f>ResourceAllocationByPriority!$C$26*D27</f>
        <v>13.2</v>
      </c>
      <c r="F27" s="248">
        <f>VLOOKUP($B$26, ResourceAllocationByPriority!$B$22:$K$34, 4, FALSE)</f>
        <v>0</v>
      </c>
      <c r="G27" s="244">
        <f t="shared" si="0"/>
        <v>13.2</v>
      </c>
    </row>
    <row r="28" spans="1:18" ht="15.75" thickBot="1" x14ac:dyDescent="0.3">
      <c r="A28" s="508"/>
      <c r="B28" s="279"/>
      <c r="C28" s="48" t="s">
        <v>366</v>
      </c>
      <c r="D28" s="238">
        <v>0</v>
      </c>
      <c r="E28" s="250">
        <f>ResourceAllocationByPriority!$C$26*D28</f>
        <v>0</v>
      </c>
      <c r="F28" s="248">
        <f>VLOOKUP($B$26, ResourceAllocationByPriority!$B$22:$K$34, 5, FALSE)</f>
        <v>0</v>
      </c>
      <c r="G28" s="244">
        <f t="shared" si="0"/>
        <v>0</v>
      </c>
    </row>
    <row r="29" spans="1:18" ht="15.75" thickBot="1" x14ac:dyDescent="0.3">
      <c r="A29" s="508"/>
      <c r="B29" s="280"/>
      <c r="C29" s="245" t="s">
        <v>363</v>
      </c>
      <c r="D29" s="247">
        <v>0.5</v>
      </c>
      <c r="E29" s="251">
        <f>ResourceAllocationByPriority!$C$26*D29</f>
        <v>13.2</v>
      </c>
      <c r="F29" s="248">
        <f>VLOOKUP($B$26, ResourceAllocationByPriority!$B$22:$K$34,6, FALSE)</f>
        <v>0</v>
      </c>
      <c r="G29" s="246">
        <f t="shared" si="0"/>
        <v>13.2</v>
      </c>
    </row>
    <row r="30" spans="1:18" ht="15.75" thickBot="1" x14ac:dyDescent="0.3">
      <c r="A30" s="508"/>
      <c r="B30" s="278" t="s">
        <v>330</v>
      </c>
      <c r="C30" s="242" t="s">
        <v>362</v>
      </c>
      <c r="D30" s="266">
        <v>0.25</v>
      </c>
      <c r="E30" s="249">
        <f>ResourceAllocationByPriority!$C$26*D30</f>
        <v>6.6</v>
      </c>
      <c r="F30" s="248">
        <f>VLOOKUP($B$30, ResourceAllocationByPriority!$B$22:$K$34, 3, FALSE)</f>
        <v>0</v>
      </c>
      <c r="G30" s="243">
        <f t="shared" si="0"/>
        <v>6.6</v>
      </c>
    </row>
    <row r="31" spans="1:18" ht="15.75" thickBot="1" x14ac:dyDescent="0.3">
      <c r="A31" s="508"/>
      <c r="B31" s="279"/>
      <c r="C31" s="48" t="s">
        <v>364</v>
      </c>
      <c r="D31" s="238">
        <v>0.5</v>
      </c>
      <c r="E31" s="250">
        <f>ResourceAllocationByPriority!$C$26*D31</f>
        <v>13.2</v>
      </c>
      <c r="F31" s="248">
        <f>VLOOKUP($B$30, ResourceAllocationByPriority!$B$22:$K$34, 4, FALSE)</f>
        <v>0</v>
      </c>
      <c r="G31" s="244">
        <f t="shared" si="0"/>
        <v>13.2</v>
      </c>
    </row>
    <row r="32" spans="1:18" ht="15.75" thickBot="1" x14ac:dyDescent="0.3">
      <c r="A32" s="508"/>
      <c r="B32" s="279"/>
      <c r="C32" s="48" t="s">
        <v>438</v>
      </c>
      <c r="D32" s="238">
        <v>0</v>
      </c>
      <c r="E32" s="250">
        <f>ResourceAllocationByPriority!$C$26*D32</f>
        <v>0</v>
      </c>
      <c r="F32" s="248">
        <f>VLOOKUP($B$30, ResourceAllocationByPriority!$B$22:$K$34, 5, FALSE)</f>
        <v>0</v>
      </c>
      <c r="G32" s="244">
        <f t="shared" si="0"/>
        <v>0</v>
      </c>
    </row>
    <row r="33" spans="1:7" ht="15.75" thickBot="1" x14ac:dyDescent="0.3">
      <c r="A33" s="508"/>
      <c r="B33" s="280"/>
      <c r="C33" s="245" t="s">
        <v>363</v>
      </c>
      <c r="D33" s="247">
        <v>0.25</v>
      </c>
      <c r="E33" s="251">
        <f>ResourceAllocationByPriority!$C$26*D33</f>
        <v>6.6</v>
      </c>
      <c r="F33" s="248">
        <f>VLOOKUP($B$30, ResourceAllocationByPriority!$B$22:$K$34, 6, FALSE)</f>
        <v>0</v>
      </c>
      <c r="G33" s="246">
        <f t="shared" si="0"/>
        <v>6.6</v>
      </c>
    </row>
    <row r="34" spans="1:7" ht="15.75" thickBot="1" x14ac:dyDescent="0.3">
      <c r="A34" s="508"/>
      <c r="B34" s="278" t="s">
        <v>331</v>
      </c>
      <c r="C34" s="242" t="s">
        <v>362</v>
      </c>
      <c r="D34" s="266">
        <v>0</v>
      </c>
      <c r="E34" s="249">
        <f>ResourceAllocationByPriority!$C$26*D34</f>
        <v>0</v>
      </c>
      <c r="F34" s="248">
        <f>VLOOKUP($B$34, ResourceAllocationByPriority!$B$22:$K$34, 3, FALSE)</f>
        <v>0</v>
      </c>
      <c r="G34" s="243">
        <f t="shared" si="0"/>
        <v>0</v>
      </c>
    </row>
    <row r="35" spans="1:7" ht="15.75" thickBot="1" x14ac:dyDescent="0.3">
      <c r="A35" s="508"/>
      <c r="B35" s="279"/>
      <c r="C35" s="48" t="s">
        <v>364</v>
      </c>
      <c r="D35" s="238">
        <v>0.2</v>
      </c>
      <c r="E35" s="250">
        <f>ResourceAllocationByPriority!$C$26*D35</f>
        <v>5.28</v>
      </c>
      <c r="F35" s="248">
        <f>VLOOKUP($B$34, ResourceAllocationByPriority!$B$22:$K$34, 4, FALSE)</f>
        <v>0</v>
      </c>
      <c r="G35" s="244">
        <f t="shared" si="0"/>
        <v>5.28</v>
      </c>
    </row>
    <row r="36" spans="1:7" ht="15.75" thickBot="1" x14ac:dyDescent="0.3">
      <c r="A36" s="508"/>
      <c r="B36" s="279"/>
      <c r="C36" s="48" t="s">
        <v>438</v>
      </c>
      <c r="D36" s="238">
        <v>0</v>
      </c>
      <c r="E36" s="250">
        <f>ResourceAllocationByPriority!$C$26*D36</f>
        <v>0</v>
      </c>
      <c r="F36" s="248">
        <f>VLOOKUP($B$34, ResourceAllocationByPriority!$B$22:$K$34, 5, FALSE)</f>
        <v>0</v>
      </c>
      <c r="G36" s="244">
        <f t="shared" si="0"/>
        <v>0</v>
      </c>
    </row>
    <row r="37" spans="1:7" ht="15.75" thickBot="1" x14ac:dyDescent="0.3">
      <c r="A37" s="508"/>
      <c r="B37" s="280"/>
      <c r="C37" s="245" t="s">
        <v>363</v>
      </c>
      <c r="D37" s="247">
        <v>0.8</v>
      </c>
      <c r="E37" s="251">
        <f>ResourceAllocationByPriority!$C$26*D37</f>
        <v>21.12</v>
      </c>
      <c r="F37" s="248">
        <f>VLOOKUP($B$34, ResourceAllocationByPriority!$B$22:$K$34, 6, FALSE)</f>
        <v>0</v>
      </c>
      <c r="G37" s="246">
        <f t="shared" si="0"/>
        <v>21.12</v>
      </c>
    </row>
    <row r="38" spans="1:7" ht="15.75" thickBot="1" x14ac:dyDescent="0.3">
      <c r="B38" s="278" t="s">
        <v>332</v>
      </c>
      <c r="C38" s="242" t="s">
        <v>362</v>
      </c>
      <c r="D38" s="266">
        <v>0.5</v>
      </c>
      <c r="E38" s="249">
        <f>ResourceAllocationByPriority!$C$26*D38</f>
        <v>13.2</v>
      </c>
      <c r="F38" s="248">
        <f>VLOOKUP($B$38, ResourceAllocationByPriority!$B$22:$K$34, 3, FALSE)</f>
        <v>0</v>
      </c>
      <c r="G38" s="243">
        <f t="shared" si="0"/>
        <v>13.2</v>
      </c>
    </row>
    <row r="39" spans="1:7" ht="15.75" thickBot="1" x14ac:dyDescent="0.3">
      <c r="B39" s="279"/>
      <c r="C39" s="48" t="s">
        <v>364</v>
      </c>
      <c r="D39" s="238">
        <v>0.4</v>
      </c>
      <c r="E39" s="250">
        <f>ResourceAllocationByPriority!$C$26*D39</f>
        <v>10.56</v>
      </c>
      <c r="F39" s="248">
        <f>VLOOKUP($B$38, ResourceAllocationByPriority!$B$22:$K$34, 4, FALSE)</f>
        <v>0</v>
      </c>
      <c r="G39" s="244">
        <f t="shared" si="0"/>
        <v>10.56</v>
      </c>
    </row>
    <row r="40" spans="1:7" ht="15.75" thickBot="1" x14ac:dyDescent="0.3">
      <c r="B40" s="279"/>
      <c r="C40" s="48" t="s">
        <v>438</v>
      </c>
      <c r="D40" s="238">
        <v>0</v>
      </c>
      <c r="E40" s="250">
        <f>ResourceAllocationByPriority!$C$26*D40</f>
        <v>0</v>
      </c>
      <c r="F40" s="248">
        <f>VLOOKUP($B$38, ResourceAllocationByPriority!$B$22:$K$34, 5, FALSE)</f>
        <v>0</v>
      </c>
      <c r="G40" s="244">
        <f t="shared" si="0"/>
        <v>0</v>
      </c>
    </row>
    <row r="41" spans="1:7" ht="15.75" thickBot="1" x14ac:dyDescent="0.3">
      <c r="B41" s="280"/>
      <c r="C41" s="245" t="s">
        <v>363</v>
      </c>
      <c r="D41" s="247">
        <v>0.1</v>
      </c>
      <c r="E41" s="251">
        <f>ResourceAllocationByPriority!$C$26*D41</f>
        <v>2.64</v>
      </c>
      <c r="F41" s="248">
        <f>VLOOKUP($B$38, ResourceAllocationByPriority!$B$22:$K$34,6, FALSE)</f>
        <v>0</v>
      </c>
      <c r="G41" s="246">
        <f t="shared" si="0"/>
        <v>2.64</v>
      </c>
    </row>
    <row r="42" spans="1:7" ht="15.75" thickBot="1" x14ac:dyDescent="0.3">
      <c r="B42" s="278" t="s">
        <v>333</v>
      </c>
      <c r="C42" s="242" t="s">
        <v>362</v>
      </c>
      <c r="D42" s="266">
        <v>0.25</v>
      </c>
      <c r="E42" s="249">
        <f>ResourceAllocationByPriority!$C$26*D42</f>
        <v>6.6</v>
      </c>
      <c r="F42" s="248">
        <f>VLOOKUP($B$42, ResourceAllocationByPriority!$B$22:$K$34, 3, FALSE)</f>
        <v>0</v>
      </c>
      <c r="G42" s="243">
        <f t="shared" si="0"/>
        <v>6.6</v>
      </c>
    </row>
    <row r="43" spans="1:7" ht="15.75" thickBot="1" x14ac:dyDescent="0.3">
      <c r="B43" s="279"/>
      <c r="C43" s="48" t="s">
        <v>364</v>
      </c>
      <c r="D43" s="238">
        <v>0.5</v>
      </c>
      <c r="E43" s="250">
        <f>ResourceAllocationByPriority!$C$26*D43</f>
        <v>13.2</v>
      </c>
      <c r="F43" s="248">
        <f>VLOOKUP($B$42, ResourceAllocationByPriority!$B$22:$K$34, 4, FALSE)</f>
        <v>0</v>
      </c>
      <c r="G43" s="244">
        <f t="shared" si="0"/>
        <v>13.2</v>
      </c>
    </row>
    <row r="44" spans="1:7" ht="15.75" thickBot="1" x14ac:dyDescent="0.3">
      <c r="B44" s="279"/>
      <c r="C44" s="48" t="s">
        <v>438</v>
      </c>
      <c r="D44" s="238">
        <v>0.25</v>
      </c>
      <c r="E44" s="250">
        <f>ResourceAllocationByPriority!$C$26*D44</f>
        <v>6.6</v>
      </c>
      <c r="F44" s="248">
        <f>VLOOKUP($B$42, ResourceAllocationByPriority!$B$22:$K$34, 5, FALSE)</f>
        <v>0</v>
      </c>
      <c r="G44" s="244">
        <f t="shared" si="0"/>
        <v>6.6</v>
      </c>
    </row>
    <row r="45" spans="1:7" ht="15.75" thickBot="1" x14ac:dyDescent="0.3">
      <c r="B45" s="280"/>
      <c r="C45" s="245" t="s">
        <v>363</v>
      </c>
      <c r="D45" s="247">
        <v>0</v>
      </c>
      <c r="E45" s="251">
        <f>ResourceAllocationByPriority!$C$26*D45</f>
        <v>0</v>
      </c>
      <c r="F45" s="248">
        <f>VLOOKUP($B$42, ResourceAllocationByPriority!$B$22:$K$34, 6, FALSE)</f>
        <v>0</v>
      </c>
      <c r="G45" s="246">
        <f t="shared" si="0"/>
        <v>0</v>
      </c>
    </row>
    <row r="46" spans="1:7" ht="15.75" thickBot="1" x14ac:dyDescent="0.3">
      <c r="B46" s="278" t="s">
        <v>334</v>
      </c>
      <c r="C46" s="242" t="s">
        <v>362</v>
      </c>
      <c r="D46" s="266">
        <v>0.4</v>
      </c>
      <c r="E46" s="249">
        <f>ResourceAllocationByPriority!$C$26*D46</f>
        <v>10.56</v>
      </c>
      <c r="F46" s="248">
        <f>VLOOKUP($B$46, ResourceAllocationByPriority!$B$22:$K$34, 3, FALSE)</f>
        <v>0</v>
      </c>
      <c r="G46" s="243">
        <f t="shared" si="0"/>
        <v>10.56</v>
      </c>
    </row>
    <row r="47" spans="1:7" ht="15.75" thickBot="1" x14ac:dyDescent="0.3">
      <c r="B47" s="279"/>
      <c r="C47" s="48" t="s">
        <v>364</v>
      </c>
      <c r="D47" s="238">
        <v>0</v>
      </c>
      <c r="E47" s="250">
        <f>ResourceAllocationByPriority!$C$26*D47</f>
        <v>0</v>
      </c>
      <c r="F47" s="248">
        <f>VLOOKUP($B$46, ResourceAllocationByPriority!$B$22:$K$34, 4, FALSE)</f>
        <v>0</v>
      </c>
      <c r="G47" s="244">
        <f t="shared" si="0"/>
        <v>0</v>
      </c>
    </row>
    <row r="48" spans="1:7" ht="15.75" thickBot="1" x14ac:dyDescent="0.3">
      <c r="B48" s="279"/>
      <c r="C48" s="48" t="s">
        <v>438</v>
      </c>
      <c r="D48" s="238">
        <v>0</v>
      </c>
      <c r="E48" s="250">
        <f>ResourceAllocationByPriority!$C$26*D48</f>
        <v>0</v>
      </c>
      <c r="F48" s="248">
        <f>VLOOKUP($B$46, ResourceAllocationByPriority!$B$22:$K$34, 5, FALSE)</f>
        <v>0</v>
      </c>
      <c r="G48" s="244">
        <f t="shared" si="0"/>
        <v>0</v>
      </c>
    </row>
    <row r="49" spans="1:17" ht="15.75" thickBot="1" x14ac:dyDescent="0.3">
      <c r="B49" s="280"/>
      <c r="C49" s="245" t="s">
        <v>363</v>
      </c>
      <c r="D49" s="247">
        <v>0.6</v>
      </c>
      <c r="E49" s="251">
        <f>ResourceAllocationByPriority!$C$26*D49</f>
        <v>15.839999999999998</v>
      </c>
      <c r="F49" s="248">
        <f>VLOOKUP($B$46, ResourceAllocationByPriority!$B$22:$K$34, 6, FALSE)</f>
        <v>0</v>
      </c>
      <c r="G49" s="246">
        <f t="shared" si="0"/>
        <v>15.839999999999998</v>
      </c>
    </row>
    <row r="56" spans="1:17" x14ac:dyDescent="0.25">
      <c r="A56" t="s">
        <v>441</v>
      </c>
      <c r="B56" t="s">
        <v>442</v>
      </c>
    </row>
    <row r="57" spans="1:17" x14ac:dyDescent="0.25">
      <c r="A57" t="s">
        <v>443</v>
      </c>
      <c r="B57" t="s">
        <v>444</v>
      </c>
      <c r="C57" t="s">
        <v>445</v>
      </c>
      <c r="D57" t="s">
        <v>446</v>
      </c>
      <c r="E57" t="s">
        <v>447</v>
      </c>
      <c r="F57" t="s">
        <v>448</v>
      </c>
      <c r="G57" t="s">
        <v>449</v>
      </c>
      <c r="H57" t="s">
        <v>450</v>
      </c>
      <c r="I57" t="s">
        <v>451</v>
      </c>
      <c r="J57" t="s">
        <v>452</v>
      </c>
      <c r="K57" t="s">
        <v>453</v>
      </c>
      <c r="L57" t="s">
        <v>454</v>
      </c>
      <c r="M57" t="s">
        <v>455</v>
      </c>
      <c r="N57" t="s">
        <v>456</v>
      </c>
      <c r="O57" t="s">
        <v>457</v>
      </c>
      <c r="P57" t="s">
        <v>458</v>
      </c>
      <c r="Q57" t="s">
        <v>459</v>
      </c>
    </row>
    <row r="58" spans="1:17" x14ac:dyDescent="0.25">
      <c r="A58" t="s">
        <v>460</v>
      </c>
      <c r="C58">
        <v>3</v>
      </c>
      <c r="F58">
        <v>3</v>
      </c>
      <c r="I58">
        <v>15</v>
      </c>
      <c r="L58">
        <v>12</v>
      </c>
      <c r="M58">
        <v>3</v>
      </c>
      <c r="Q58">
        <v>31</v>
      </c>
    </row>
    <row r="59" spans="1:17" x14ac:dyDescent="0.25">
      <c r="A59" t="s">
        <v>364</v>
      </c>
      <c r="C59">
        <v>7</v>
      </c>
      <c r="J59">
        <v>18</v>
      </c>
      <c r="O59">
        <v>3</v>
      </c>
      <c r="Q59">
        <v>28</v>
      </c>
    </row>
    <row r="60" spans="1:17" x14ac:dyDescent="0.25">
      <c r="A60" t="s">
        <v>433</v>
      </c>
      <c r="B60">
        <v>25</v>
      </c>
      <c r="D60">
        <v>7</v>
      </c>
      <c r="F60">
        <v>38</v>
      </c>
      <c r="G60">
        <v>25</v>
      </c>
      <c r="I60">
        <v>5</v>
      </c>
      <c r="J60">
        <v>9</v>
      </c>
      <c r="K60">
        <v>37</v>
      </c>
      <c r="L60">
        <v>5</v>
      </c>
      <c r="N60">
        <v>35</v>
      </c>
      <c r="O60">
        <v>10</v>
      </c>
      <c r="Q60">
        <v>196</v>
      </c>
    </row>
    <row r="61" spans="1:17" x14ac:dyDescent="0.25">
      <c r="A61" t="s">
        <v>461</v>
      </c>
      <c r="E61">
        <v>4</v>
      </c>
      <c r="M61">
        <v>5</v>
      </c>
      <c r="Q61">
        <v>4</v>
      </c>
    </row>
    <row r="62" spans="1:17" x14ac:dyDescent="0.25">
      <c r="A62" t="s">
        <v>361</v>
      </c>
      <c r="C62">
        <v>25</v>
      </c>
      <c r="E62">
        <v>25</v>
      </c>
      <c r="H62">
        <v>42</v>
      </c>
      <c r="I62">
        <v>10</v>
      </c>
      <c r="J62">
        <v>15</v>
      </c>
      <c r="K62">
        <v>8</v>
      </c>
      <c r="M62">
        <v>7</v>
      </c>
      <c r="O62">
        <v>22</v>
      </c>
      <c r="Q62">
        <v>127</v>
      </c>
    </row>
    <row r="63" spans="1:17" x14ac:dyDescent="0.25">
      <c r="A63" t="s">
        <v>459</v>
      </c>
      <c r="B63">
        <v>25</v>
      </c>
      <c r="C63">
        <v>35</v>
      </c>
      <c r="D63">
        <v>7</v>
      </c>
      <c r="E63">
        <v>29</v>
      </c>
      <c r="F63">
        <v>41</v>
      </c>
      <c r="G63">
        <v>25</v>
      </c>
      <c r="H63">
        <v>42</v>
      </c>
      <c r="I63">
        <v>30</v>
      </c>
      <c r="J63">
        <v>42</v>
      </c>
      <c r="K63">
        <v>45</v>
      </c>
      <c r="L63">
        <v>17</v>
      </c>
      <c r="M63">
        <v>15</v>
      </c>
      <c r="N63">
        <v>35</v>
      </c>
      <c r="O63">
        <v>35</v>
      </c>
      <c r="Q63">
        <v>423</v>
      </c>
    </row>
  </sheetData>
  <mergeCells count="2">
    <mergeCell ref="A2:A37"/>
    <mergeCell ref="L2:L24"/>
  </mergeCells>
  <conditionalFormatting sqref="G2:G49">
    <cfRule type="cellIs" dxfId="43" priority="2" operator="lessThan">
      <formula>-2</formula>
    </cfRule>
  </conditionalFormatting>
  <conditionalFormatting sqref="G2:G49">
    <cfRule type="cellIs" dxfId="42" priority="1" operator="greaterThan">
      <formula>2</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1FDC-CBE7-41AC-A65B-514EBA773B8E}">
  <dimension ref="C1:V23"/>
  <sheetViews>
    <sheetView workbookViewId="0">
      <selection activeCell="O20" sqref="O20"/>
    </sheetView>
  </sheetViews>
  <sheetFormatPr defaultRowHeight="15" x14ac:dyDescent="0.25"/>
  <cols>
    <col min="4" max="5" width="20" bestFit="1" customWidth="1"/>
    <col min="6" max="6" width="15.85546875" bestFit="1" customWidth="1"/>
    <col min="8" max="8" width="26.140625" bestFit="1" customWidth="1"/>
    <col min="14" max="14" width="8" bestFit="1" customWidth="1"/>
    <col min="15" max="15" width="13.140625" customWidth="1"/>
  </cols>
  <sheetData>
    <row r="1" spans="3:22" x14ac:dyDescent="0.25">
      <c r="D1" s="4" t="s">
        <v>363</v>
      </c>
      <c r="E1" s="4" t="s">
        <v>362</v>
      </c>
      <c r="K1" s="510" t="s">
        <v>285</v>
      </c>
      <c r="L1" s="511"/>
      <c r="M1" s="511"/>
      <c r="N1" s="511"/>
      <c r="O1" s="512"/>
    </row>
    <row r="2" spans="3:22" x14ac:dyDescent="0.25">
      <c r="C2" s="4" t="s">
        <v>462</v>
      </c>
      <c r="D2" s="4" t="s">
        <v>463</v>
      </c>
      <c r="E2" s="4" t="s">
        <v>463</v>
      </c>
      <c r="F2" s="4" t="s">
        <v>464</v>
      </c>
      <c r="K2" s="173"/>
      <c r="L2" s="513" t="s">
        <v>462</v>
      </c>
      <c r="M2" s="513"/>
      <c r="N2" s="4" t="s">
        <v>465</v>
      </c>
      <c r="O2" s="174" t="s">
        <v>466</v>
      </c>
    </row>
    <row r="3" spans="3:22" x14ac:dyDescent="0.25">
      <c r="C3" s="4">
        <v>74</v>
      </c>
      <c r="D3" s="4">
        <v>70</v>
      </c>
      <c r="E3" s="4">
        <v>51</v>
      </c>
      <c r="F3" s="4">
        <f>SUM(D3:E3)</f>
        <v>121</v>
      </c>
      <c r="K3" s="173"/>
      <c r="L3" s="4">
        <v>39</v>
      </c>
      <c r="M3" s="4"/>
      <c r="N3" s="4"/>
      <c r="O3" s="174">
        <v>445</v>
      </c>
    </row>
    <row r="4" spans="3:22" x14ac:dyDescent="0.25">
      <c r="C4" s="4">
        <v>75</v>
      </c>
      <c r="D4" s="4">
        <v>102</v>
      </c>
      <c r="E4" s="4">
        <v>66</v>
      </c>
      <c r="F4" s="4">
        <f t="shared" ref="F4:F9" si="0">SUM(D4:E4)</f>
        <v>168</v>
      </c>
      <c r="K4" s="173"/>
      <c r="L4" s="4">
        <v>40</v>
      </c>
      <c r="M4" s="4"/>
      <c r="N4" s="4"/>
      <c r="O4" s="174"/>
    </row>
    <row r="5" spans="3:22" ht="15.75" thickBot="1" x14ac:dyDescent="0.3">
      <c r="C5" s="4">
        <v>76</v>
      </c>
      <c r="D5" s="4">
        <v>150</v>
      </c>
      <c r="E5" s="4">
        <v>68</v>
      </c>
      <c r="F5" s="4">
        <f t="shared" si="0"/>
        <v>218</v>
      </c>
      <c r="K5" s="173"/>
      <c r="L5" s="86">
        <v>41</v>
      </c>
      <c r="M5" s="86"/>
      <c r="N5" s="86"/>
      <c r="O5" s="175"/>
    </row>
    <row r="6" spans="3:22" x14ac:dyDescent="0.25">
      <c r="C6" s="4">
        <v>77</v>
      </c>
      <c r="D6" s="4">
        <v>148</v>
      </c>
      <c r="E6" s="4">
        <v>88</v>
      </c>
      <c r="F6" s="4">
        <f t="shared" si="0"/>
        <v>236</v>
      </c>
      <c r="K6" s="514" t="s">
        <v>467</v>
      </c>
      <c r="L6" s="176">
        <v>42</v>
      </c>
      <c r="M6" s="176"/>
      <c r="N6" s="176">
        <v>67</v>
      </c>
      <c r="O6" s="177">
        <v>480</v>
      </c>
      <c r="P6" s="178"/>
      <c r="Q6" s="178"/>
      <c r="R6" s="178"/>
      <c r="S6" s="178"/>
      <c r="T6" s="178"/>
      <c r="U6" s="178"/>
      <c r="V6" s="179"/>
    </row>
    <row r="7" spans="3:22" x14ac:dyDescent="0.25">
      <c r="C7" s="4">
        <v>78</v>
      </c>
      <c r="D7" s="4">
        <v>104</v>
      </c>
      <c r="E7" s="4">
        <v>105</v>
      </c>
      <c r="F7" s="4">
        <f t="shared" si="0"/>
        <v>209</v>
      </c>
      <c r="K7" s="515"/>
      <c r="L7" s="4">
        <v>43</v>
      </c>
      <c r="M7" s="4"/>
      <c r="N7" s="4">
        <v>56</v>
      </c>
      <c r="O7" s="174">
        <v>480</v>
      </c>
      <c r="V7" s="180"/>
    </row>
    <row r="8" spans="3:22" x14ac:dyDescent="0.25">
      <c r="C8" s="4">
        <v>79</v>
      </c>
      <c r="D8" s="4">
        <v>134</v>
      </c>
      <c r="E8" s="4">
        <v>84</v>
      </c>
      <c r="F8" s="4">
        <f t="shared" si="0"/>
        <v>218</v>
      </c>
      <c r="K8" s="515"/>
      <c r="L8" s="4">
        <v>44</v>
      </c>
      <c r="M8" s="4"/>
      <c r="N8" s="4">
        <v>57</v>
      </c>
      <c r="O8" s="174">
        <v>480</v>
      </c>
      <c r="R8" s="4"/>
      <c r="S8" s="4" t="s">
        <v>350</v>
      </c>
      <c r="T8" s="4" t="s">
        <v>468</v>
      </c>
      <c r="V8" s="180"/>
    </row>
    <row r="9" spans="3:22" x14ac:dyDescent="0.25">
      <c r="C9" s="4">
        <v>80</v>
      </c>
      <c r="D9" s="4">
        <v>136</v>
      </c>
      <c r="E9" s="4">
        <f>61+27</f>
        <v>88</v>
      </c>
      <c r="F9" s="4">
        <f t="shared" si="0"/>
        <v>224</v>
      </c>
      <c r="K9" s="515"/>
      <c r="L9" s="4">
        <v>45</v>
      </c>
      <c r="M9" s="4"/>
      <c r="N9" s="4">
        <v>60</v>
      </c>
      <c r="O9" s="174">
        <v>480</v>
      </c>
      <c r="R9" s="4">
        <f>AVERAGE(N3:N8)</f>
        <v>60</v>
      </c>
      <c r="S9" s="4">
        <v>8</v>
      </c>
      <c r="T9" s="4">
        <f>R9/S9</f>
        <v>7.5</v>
      </c>
      <c r="V9" s="180"/>
    </row>
    <row r="10" spans="3:22" x14ac:dyDescent="0.25">
      <c r="K10" s="515"/>
      <c r="L10" s="4">
        <v>46</v>
      </c>
      <c r="M10" s="4"/>
      <c r="N10" s="4">
        <v>54</v>
      </c>
      <c r="O10" s="174">
        <v>480</v>
      </c>
      <c r="V10" s="180"/>
    </row>
    <row r="11" spans="3:22" ht="15.75" thickBot="1" x14ac:dyDescent="0.3">
      <c r="E11" s="4"/>
      <c r="F11" s="4" t="s">
        <v>350</v>
      </c>
      <c r="G11" s="4" t="s">
        <v>468</v>
      </c>
      <c r="K11" s="516"/>
      <c r="L11" s="181">
        <v>47</v>
      </c>
      <c r="M11" s="181"/>
      <c r="N11" s="181">
        <v>57</v>
      </c>
      <c r="O11" s="182">
        <v>480</v>
      </c>
      <c r="P11" s="183"/>
      <c r="Q11" s="183"/>
      <c r="R11" s="183"/>
      <c r="S11" s="183"/>
      <c r="T11" s="183"/>
      <c r="U11" s="183"/>
      <c r="V11" s="184"/>
    </row>
    <row r="12" spans="3:22" x14ac:dyDescent="0.25">
      <c r="E12" s="4">
        <f>AVERAGE(F3:F9)</f>
        <v>199.14285714285714</v>
      </c>
      <c r="F12" s="4">
        <v>9</v>
      </c>
      <c r="G12" s="4">
        <f>E12/F12</f>
        <v>22.126984126984127</v>
      </c>
      <c r="K12" s="514" t="s">
        <v>469</v>
      </c>
      <c r="L12" s="176">
        <v>48</v>
      </c>
      <c r="M12" s="176"/>
      <c r="N12" s="176">
        <v>75</v>
      </c>
      <c r="O12" s="177">
        <v>680</v>
      </c>
      <c r="P12" s="178"/>
      <c r="Q12" s="178"/>
      <c r="R12" s="178"/>
      <c r="S12" s="178"/>
      <c r="T12" s="178"/>
      <c r="U12" s="178"/>
      <c r="V12" s="179"/>
    </row>
    <row r="13" spans="3:22" x14ac:dyDescent="0.25">
      <c r="K13" s="515"/>
      <c r="L13" s="4">
        <v>49</v>
      </c>
      <c r="M13" s="4"/>
      <c r="N13" s="4">
        <v>74</v>
      </c>
      <c r="O13" s="174">
        <v>666</v>
      </c>
      <c r="V13" s="180"/>
    </row>
    <row r="14" spans="3:22" ht="60" x14ac:dyDescent="0.25">
      <c r="E14" s="59" t="s">
        <v>470</v>
      </c>
      <c r="F14" s="4">
        <v>185</v>
      </c>
      <c r="K14" s="515"/>
      <c r="L14" s="4">
        <v>50</v>
      </c>
      <c r="M14" s="4"/>
      <c r="N14" s="4">
        <v>73</v>
      </c>
      <c r="O14" s="174">
        <v>617</v>
      </c>
      <c r="V14" s="180"/>
    </row>
    <row r="15" spans="3:22" x14ac:dyDescent="0.25">
      <c r="K15" s="515"/>
      <c r="L15" s="4">
        <v>51</v>
      </c>
      <c r="M15" s="4"/>
      <c r="N15" s="4">
        <v>76</v>
      </c>
      <c r="O15" s="174">
        <v>638</v>
      </c>
      <c r="R15" s="4"/>
      <c r="S15" s="4" t="s">
        <v>350</v>
      </c>
      <c r="T15" s="4" t="s">
        <v>468</v>
      </c>
      <c r="V15" s="180"/>
    </row>
    <row r="16" spans="3:22" x14ac:dyDescent="0.25">
      <c r="K16" s="515"/>
      <c r="L16" s="4">
        <v>52</v>
      </c>
      <c r="M16" s="4"/>
      <c r="N16" s="4">
        <v>75</v>
      </c>
      <c r="O16" s="174">
        <v>680</v>
      </c>
      <c r="R16" s="4">
        <f>AVERAGE(N12:N16)</f>
        <v>74.599999999999994</v>
      </c>
      <c r="S16" s="4">
        <v>10</v>
      </c>
      <c r="T16" s="4">
        <f>R16/S16</f>
        <v>7.4599999999999991</v>
      </c>
      <c r="V16" s="180"/>
    </row>
    <row r="17" spans="5:22" ht="15.75" thickBot="1" x14ac:dyDescent="0.3">
      <c r="E17" s="68" t="s">
        <v>471</v>
      </c>
      <c r="F17" s="4">
        <v>120</v>
      </c>
      <c r="K17" s="515"/>
      <c r="P17" s="183"/>
      <c r="Q17" s="183"/>
      <c r="R17" s="183"/>
      <c r="S17" s="183"/>
      <c r="T17" s="183"/>
      <c r="U17" s="183"/>
      <c r="V17" s="184"/>
    </row>
    <row r="18" spans="5:22" x14ac:dyDescent="0.25">
      <c r="E18" s="68" t="s">
        <v>472</v>
      </c>
      <c r="F18" s="4">
        <v>65</v>
      </c>
      <c r="K18" s="517" t="s">
        <v>473</v>
      </c>
      <c r="L18" s="4">
        <v>53</v>
      </c>
      <c r="M18" s="4"/>
      <c r="N18" s="4"/>
      <c r="O18" s="4">
        <v>796</v>
      </c>
    </row>
    <row r="19" spans="5:22" x14ac:dyDescent="0.25">
      <c r="K19" s="517"/>
      <c r="L19" s="4">
        <v>54</v>
      </c>
      <c r="M19" s="4"/>
      <c r="N19" s="4"/>
      <c r="O19" s="4">
        <v>789</v>
      </c>
    </row>
    <row r="20" spans="5:22" x14ac:dyDescent="0.25">
      <c r="K20" s="517"/>
      <c r="L20" s="4">
        <v>55</v>
      </c>
      <c r="M20" s="4"/>
      <c r="N20" s="4"/>
      <c r="O20" s="4">
        <v>810</v>
      </c>
    </row>
    <row r="21" spans="5:22" x14ac:dyDescent="0.25">
      <c r="K21" s="517"/>
      <c r="L21" s="4">
        <v>56</v>
      </c>
      <c r="M21" s="4"/>
      <c r="N21" s="4"/>
      <c r="O21" s="4">
        <v>810</v>
      </c>
    </row>
    <row r="22" spans="5:22" x14ac:dyDescent="0.25">
      <c r="K22" s="517"/>
      <c r="L22" s="4">
        <v>57</v>
      </c>
      <c r="M22" s="4"/>
      <c r="N22" s="4"/>
      <c r="O22" s="4">
        <v>782</v>
      </c>
    </row>
    <row r="23" spans="5:22" x14ac:dyDescent="0.25">
      <c r="K23" s="517"/>
      <c r="L23" s="4">
        <v>58</v>
      </c>
      <c r="M23" s="4"/>
      <c r="N23" s="4"/>
      <c r="O23" s="4">
        <v>810</v>
      </c>
    </row>
  </sheetData>
  <mergeCells count="5">
    <mergeCell ref="K1:O1"/>
    <mergeCell ref="L2:M2"/>
    <mergeCell ref="K6:K11"/>
    <mergeCell ref="K12:K17"/>
    <mergeCell ref="K18:K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F1E0-3DC2-4BCF-BF5F-1B24BB22A5B3}">
  <dimension ref="A1:Q80"/>
  <sheetViews>
    <sheetView topLeftCell="A13" workbookViewId="0">
      <selection activeCell="I39" sqref="I39"/>
    </sheetView>
  </sheetViews>
  <sheetFormatPr defaultRowHeight="15" x14ac:dyDescent="0.25"/>
  <cols>
    <col min="2" max="2" width="23.28515625" bestFit="1" customWidth="1"/>
    <col min="3" max="3" width="69.7109375" bestFit="1" customWidth="1"/>
    <col min="5" max="5" width="9.85546875" bestFit="1" customWidth="1"/>
  </cols>
  <sheetData>
    <row r="1" spans="1:4" x14ac:dyDescent="0.25">
      <c r="B1" s="518" t="s">
        <v>474</v>
      </c>
      <c r="C1" s="519"/>
    </row>
    <row r="2" spans="1:4" x14ac:dyDescent="0.25">
      <c r="B2" s="4">
        <v>1</v>
      </c>
      <c r="C2" s="198" t="s">
        <v>475</v>
      </c>
    </row>
    <row r="3" spans="1:4" x14ac:dyDescent="0.25">
      <c r="B3" s="4">
        <v>2</v>
      </c>
      <c r="C3" s="198" t="s">
        <v>476</v>
      </c>
    </row>
    <row r="4" spans="1:4" x14ac:dyDescent="0.25">
      <c r="B4" s="4">
        <v>3</v>
      </c>
      <c r="C4" s="198" t="s">
        <v>477</v>
      </c>
    </row>
    <row r="5" spans="1:4" x14ac:dyDescent="0.25">
      <c r="B5" s="4">
        <v>4</v>
      </c>
      <c r="C5" s="198" t="s">
        <v>478</v>
      </c>
    </row>
    <row r="6" spans="1:4" x14ac:dyDescent="0.25">
      <c r="B6" s="4">
        <v>5</v>
      </c>
      <c r="C6" s="198" t="s">
        <v>479</v>
      </c>
    </row>
    <row r="7" spans="1:4" x14ac:dyDescent="0.25">
      <c r="B7" s="4">
        <v>6</v>
      </c>
      <c r="C7" s="198" t="s">
        <v>480</v>
      </c>
    </row>
    <row r="8" spans="1:4" x14ac:dyDescent="0.25">
      <c r="B8" s="4">
        <v>7</v>
      </c>
      <c r="C8" s="198" t="s">
        <v>481</v>
      </c>
    </row>
    <row r="9" spans="1:4" x14ac:dyDescent="0.25">
      <c r="B9" s="4">
        <v>8</v>
      </c>
      <c r="C9" s="198" t="s">
        <v>482</v>
      </c>
    </row>
    <row r="14" spans="1:4" x14ac:dyDescent="0.25">
      <c r="A14" t="s">
        <v>743</v>
      </c>
      <c r="D14" t="s">
        <v>773</v>
      </c>
    </row>
    <row r="15" spans="1:4" x14ac:dyDescent="0.25">
      <c r="C15" s="142" t="s">
        <v>753</v>
      </c>
      <c r="D15">
        <v>8</v>
      </c>
    </row>
    <row r="16" spans="1:4" x14ac:dyDescent="0.25">
      <c r="C16" s="142" t="s">
        <v>754</v>
      </c>
      <c r="D16">
        <v>8</v>
      </c>
    </row>
    <row r="17" spans="2:17" x14ac:dyDescent="0.25">
      <c r="C17" s="142" t="s">
        <v>755</v>
      </c>
      <c r="D17">
        <v>8</v>
      </c>
    </row>
    <row r="18" spans="2:17" x14ac:dyDescent="0.25">
      <c r="C18" s="142" t="s">
        <v>756</v>
      </c>
      <c r="D18">
        <v>5</v>
      </c>
    </row>
    <row r="19" spans="2:17" x14ac:dyDescent="0.25">
      <c r="C19" s="142" t="s">
        <v>695</v>
      </c>
      <c r="D19">
        <v>8</v>
      </c>
    </row>
    <row r="20" spans="2:17" x14ac:dyDescent="0.25">
      <c r="C20" s="142" t="s">
        <v>696</v>
      </c>
      <c r="D20">
        <v>8</v>
      </c>
    </row>
    <row r="21" spans="2:17" x14ac:dyDescent="0.25">
      <c r="C21" s="142" t="s">
        <v>697</v>
      </c>
      <c r="D21">
        <v>8</v>
      </c>
    </row>
    <row r="22" spans="2:17" x14ac:dyDescent="0.25">
      <c r="C22" s="142" t="s">
        <v>698</v>
      </c>
      <c r="D22">
        <v>5</v>
      </c>
    </row>
    <row r="23" spans="2:17" x14ac:dyDescent="0.25">
      <c r="B23" t="s">
        <v>13</v>
      </c>
      <c r="C23" s="142" t="s">
        <v>712</v>
      </c>
      <c r="D23">
        <v>35</v>
      </c>
    </row>
    <row r="24" spans="2:17" x14ac:dyDescent="0.25">
      <c r="C24" s="142" t="s">
        <v>713</v>
      </c>
      <c r="D24">
        <v>15</v>
      </c>
      <c r="P24" t="s">
        <v>738</v>
      </c>
      <c r="Q24" s="381" t="s">
        <v>733</v>
      </c>
    </row>
    <row r="25" spans="2:17" x14ac:dyDescent="0.25">
      <c r="C25" s="142" t="s">
        <v>714</v>
      </c>
      <c r="D25">
        <v>15</v>
      </c>
      <c r="P25" t="s">
        <v>741</v>
      </c>
      <c r="Q25" s="381" t="s">
        <v>739</v>
      </c>
    </row>
    <row r="26" spans="2:17" x14ac:dyDescent="0.25">
      <c r="C26" s="142" t="s">
        <v>715</v>
      </c>
      <c r="D26">
        <v>5</v>
      </c>
      <c r="P26" t="s">
        <v>741</v>
      </c>
      <c r="Q26" s="381" t="s">
        <v>740</v>
      </c>
    </row>
    <row r="27" spans="2:17" x14ac:dyDescent="0.25">
      <c r="C27" s="142" t="s">
        <v>725</v>
      </c>
      <c r="D27">
        <v>15</v>
      </c>
      <c r="Q27" s="381" t="s">
        <v>734</v>
      </c>
    </row>
    <row r="28" spans="2:17" x14ac:dyDescent="0.25">
      <c r="C28" s="142" t="s">
        <v>745</v>
      </c>
      <c r="D28">
        <v>8</v>
      </c>
      <c r="Q28" s="381" t="s">
        <v>735</v>
      </c>
    </row>
    <row r="29" spans="2:17" x14ac:dyDescent="0.25">
      <c r="C29" s="142" t="s">
        <v>726</v>
      </c>
      <c r="D29">
        <v>15</v>
      </c>
      <c r="Q29" s="381" t="s">
        <v>736</v>
      </c>
    </row>
    <row r="30" spans="2:17" x14ac:dyDescent="0.25">
      <c r="C30" s="142" t="s">
        <v>751</v>
      </c>
      <c r="D30">
        <v>8</v>
      </c>
      <c r="Q30" s="381" t="s">
        <v>737</v>
      </c>
    </row>
    <row r="31" spans="2:17" x14ac:dyDescent="0.25">
      <c r="C31" s="142" t="s">
        <v>731</v>
      </c>
      <c r="D31">
        <v>8</v>
      </c>
    </row>
    <row r="32" spans="2:17" x14ac:dyDescent="0.25">
      <c r="C32" s="142" t="s">
        <v>757</v>
      </c>
      <c r="D32">
        <v>10</v>
      </c>
    </row>
    <row r="33" spans="2:5" x14ac:dyDescent="0.25">
      <c r="C33" s="142" t="s">
        <v>760</v>
      </c>
      <c r="D33">
        <v>3</v>
      </c>
    </row>
    <row r="34" spans="2:5" x14ac:dyDescent="0.25">
      <c r="C34" s="142" t="s">
        <v>772</v>
      </c>
      <c r="D34" s="199">
        <v>55</v>
      </c>
    </row>
    <row r="35" spans="2:5" x14ac:dyDescent="0.25">
      <c r="C35" s="142" t="s">
        <v>770</v>
      </c>
      <c r="D35" s="199">
        <v>15</v>
      </c>
    </row>
    <row r="36" spans="2:5" x14ac:dyDescent="0.25">
      <c r="C36" s="132" t="s">
        <v>707</v>
      </c>
      <c r="D36">
        <v>15</v>
      </c>
    </row>
    <row r="37" spans="2:5" x14ac:dyDescent="0.25">
      <c r="C37" s="132" t="s">
        <v>708</v>
      </c>
      <c r="D37">
        <v>20</v>
      </c>
    </row>
    <row r="38" spans="2:5" x14ac:dyDescent="0.25">
      <c r="C38" s="132" t="s">
        <v>709</v>
      </c>
      <c r="D38">
        <v>20</v>
      </c>
    </row>
    <row r="39" spans="2:5" x14ac:dyDescent="0.25">
      <c r="C39" s="132" t="s">
        <v>710</v>
      </c>
      <c r="D39">
        <v>20</v>
      </c>
    </row>
    <row r="40" spans="2:5" x14ac:dyDescent="0.25">
      <c r="C40" s="132" t="s">
        <v>759</v>
      </c>
      <c r="D40">
        <v>8</v>
      </c>
    </row>
    <row r="41" spans="2:5" x14ac:dyDescent="0.25">
      <c r="C41" s="132" t="s">
        <v>721</v>
      </c>
      <c r="D41">
        <v>8</v>
      </c>
    </row>
    <row r="42" spans="2:5" x14ac:dyDescent="0.25">
      <c r="C42" s="132" t="s">
        <v>722</v>
      </c>
      <c r="D42">
        <v>8</v>
      </c>
    </row>
    <row r="43" spans="2:5" x14ac:dyDescent="0.25">
      <c r="C43" s="132" t="s">
        <v>724</v>
      </c>
      <c r="D43">
        <v>15</v>
      </c>
    </row>
    <row r="44" spans="2:5" x14ac:dyDescent="0.25">
      <c r="C44" s="132" t="s">
        <v>758</v>
      </c>
      <c r="D44">
        <v>8</v>
      </c>
    </row>
    <row r="45" spans="2:5" x14ac:dyDescent="0.25">
      <c r="B45" t="s">
        <v>747</v>
      </c>
      <c r="C45" s="132" t="s">
        <v>510</v>
      </c>
      <c r="D45">
        <v>8</v>
      </c>
      <c r="E45" s="402"/>
    </row>
    <row r="46" spans="2:5" x14ac:dyDescent="0.25">
      <c r="C46" s="132" t="s">
        <v>752</v>
      </c>
      <c r="D46">
        <v>8</v>
      </c>
    </row>
    <row r="47" spans="2:5" x14ac:dyDescent="0.25">
      <c r="C47" s="132" t="s">
        <v>761</v>
      </c>
      <c r="D47">
        <v>3</v>
      </c>
    </row>
    <row r="48" spans="2:5" x14ac:dyDescent="0.25">
      <c r="C48" s="104"/>
    </row>
    <row r="49" spans="1:7" x14ac:dyDescent="0.25">
      <c r="C49" s="104"/>
    </row>
    <row r="50" spans="1:7" x14ac:dyDescent="0.25">
      <c r="C50" s="104"/>
    </row>
    <row r="51" spans="1:7" x14ac:dyDescent="0.25">
      <c r="C51" s="104"/>
    </row>
    <row r="52" spans="1:7" x14ac:dyDescent="0.25">
      <c r="C52" s="56" t="s">
        <v>748</v>
      </c>
      <c r="D52" s="56">
        <v>105</v>
      </c>
      <c r="E52" t="s">
        <v>764</v>
      </c>
      <c r="F52" t="s">
        <v>765</v>
      </c>
    </row>
    <row r="53" spans="1:7" x14ac:dyDescent="0.25">
      <c r="C53" s="56"/>
      <c r="D53" s="56"/>
    </row>
    <row r="54" spans="1:7" x14ac:dyDescent="0.25">
      <c r="A54" t="s">
        <v>742</v>
      </c>
      <c r="C54" t="s">
        <v>511</v>
      </c>
      <c r="D54">
        <v>8</v>
      </c>
    </row>
    <row r="55" spans="1:7" x14ac:dyDescent="0.25">
      <c r="C55" t="s">
        <v>508</v>
      </c>
      <c r="D55">
        <v>7</v>
      </c>
    </row>
    <row r="56" spans="1:7" x14ac:dyDescent="0.25">
      <c r="C56" t="s">
        <v>509</v>
      </c>
      <c r="D56">
        <v>7</v>
      </c>
      <c r="G56">
        <f>1.6*5</f>
        <v>8</v>
      </c>
    </row>
    <row r="57" spans="1:7" x14ac:dyDescent="0.25">
      <c r="C57" t="s">
        <v>716</v>
      </c>
      <c r="D57">
        <v>21</v>
      </c>
    </row>
    <row r="58" spans="1:7" x14ac:dyDescent="0.25">
      <c r="C58" t="s">
        <v>717</v>
      </c>
      <c r="D58">
        <v>20</v>
      </c>
    </row>
    <row r="59" spans="1:7" x14ac:dyDescent="0.25">
      <c r="C59" t="s">
        <v>718</v>
      </c>
      <c r="D59">
        <v>11</v>
      </c>
    </row>
    <row r="60" spans="1:7" x14ac:dyDescent="0.25">
      <c r="C60" t="s">
        <v>719</v>
      </c>
      <c r="D60">
        <v>46</v>
      </c>
    </row>
    <row r="61" spans="1:7" x14ac:dyDescent="0.25">
      <c r="C61" t="s">
        <v>720</v>
      </c>
      <c r="D61">
        <v>42</v>
      </c>
    </row>
    <row r="62" spans="1:7" x14ac:dyDescent="0.25">
      <c r="C62" t="s">
        <v>699</v>
      </c>
      <c r="D62">
        <v>32</v>
      </c>
    </row>
    <row r="63" spans="1:7" x14ac:dyDescent="0.25">
      <c r="C63" t="s">
        <v>700</v>
      </c>
      <c r="D63">
        <v>27</v>
      </c>
    </row>
    <row r="64" spans="1:7" x14ac:dyDescent="0.25">
      <c r="C64" t="s">
        <v>701</v>
      </c>
      <c r="D64">
        <v>32</v>
      </c>
    </row>
    <row r="65" spans="2:8" x14ac:dyDescent="0.25">
      <c r="C65" t="s">
        <v>702</v>
      </c>
      <c r="D65">
        <v>15</v>
      </c>
    </row>
    <row r="66" spans="2:8" x14ac:dyDescent="0.25">
      <c r="C66" t="s">
        <v>727</v>
      </c>
      <c r="D66">
        <v>8</v>
      </c>
    </row>
    <row r="67" spans="2:8" x14ac:dyDescent="0.25">
      <c r="C67" t="s">
        <v>728</v>
      </c>
      <c r="D67">
        <v>8</v>
      </c>
    </row>
    <row r="68" spans="2:8" x14ac:dyDescent="0.25">
      <c r="C68" t="s">
        <v>729</v>
      </c>
      <c r="D68">
        <v>8</v>
      </c>
      <c r="G68">
        <f>11*48</f>
        <v>528</v>
      </c>
      <c r="H68">
        <f>G68*20%</f>
        <v>105.60000000000001</v>
      </c>
    </row>
    <row r="69" spans="2:8" x14ac:dyDescent="0.25">
      <c r="C69" t="s">
        <v>730</v>
      </c>
      <c r="D69">
        <v>8</v>
      </c>
    </row>
    <row r="70" spans="2:8" x14ac:dyDescent="0.25">
      <c r="C70" t="s">
        <v>703</v>
      </c>
      <c r="D70">
        <v>8</v>
      </c>
    </row>
    <row r="71" spans="2:8" x14ac:dyDescent="0.25">
      <c r="C71" t="s">
        <v>704</v>
      </c>
      <c r="D71">
        <v>8</v>
      </c>
    </row>
    <row r="72" spans="2:8" x14ac:dyDescent="0.25">
      <c r="C72" t="s">
        <v>705</v>
      </c>
      <c r="D72">
        <v>8</v>
      </c>
    </row>
    <row r="73" spans="2:8" x14ac:dyDescent="0.25">
      <c r="C73" t="s">
        <v>706</v>
      </c>
      <c r="D73">
        <v>8</v>
      </c>
    </row>
    <row r="74" spans="2:8" x14ac:dyDescent="0.25">
      <c r="C74" t="s">
        <v>732</v>
      </c>
      <c r="D74">
        <v>8</v>
      </c>
    </row>
    <row r="75" spans="2:8" x14ac:dyDescent="0.25">
      <c r="C75" t="s">
        <v>723</v>
      </c>
      <c r="D75" s="402">
        <v>20</v>
      </c>
    </row>
    <row r="76" spans="2:8" x14ac:dyDescent="0.25">
      <c r="B76" t="s">
        <v>747</v>
      </c>
      <c r="C76" s="56" t="s">
        <v>748</v>
      </c>
      <c r="D76" s="56">
        <v>105</v>
      </c>
      <c r="E76" t="s">
        <v>764</v>
      </c>
      <c r="F76" t="s">
        <v>765</v>
      </c>
    </row>
    <row r="77" spans="2:8" x14ac:dyDescent="0.25">
      <c r="C77" t="s">
        <v>744</v>
      </c>
      <c r="D77">
        <v>5</v>
      </c>
    </row>
    <row r="78" spans="2:8" x14ac:dyDescent="0.25">
      <c r="C78" t="s">
        <v>746</v>
      </c>
      <c r="D78">
        <v>13</v>
      </c>
    </row>
    <row r="79" spans="2:8" x14ac:dyDescent="0.25">
      <c r="C79" s="104" t="s">
        <v>749</v>
      </c>
      <c r="D79">
        <v>8</v>
      </c>
    </row>
    <row r="80" spans="2:8" x14ac:dyDescent="0.25">
      <c r="C80" t="s">
        <v>750</v>
      </c>
      <c r="D80" s="104">
        <v>0</v>
      </c>
      <c r="E80" s="402"/>
    </row>
  </sheetData>
  <mergeCells count="1">
    <mergeCell ref="B1:C1"/>
  </mergeCells>
  <phoneticPr fontId="32" type="noConversion"/>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4DB5-BBC8-4F4F-A989-A7E609731924}">
  <dimension ref="A1:AH217"/>
  <sheetViews>
    <sheetView showGridLines="0" zoomScale="85" zoomScaleNormal="85" workbookViewId="0">
      <pane xSplit="3" ySplit="2" topLeftCell="D3" activePane="bottomRight" state="frozen"/>
      <selection pane="topRight" activeCell="D1" sqref="D1"/>
      <selection pane="bottomLeft" activeCell="A3" sqref="A3"/>
      <selection pane="bottomRight" activeCell="R3" sqref="R3"/>
    </sheetView>
  </sheetViews>
  <sheetFormatPr defaultColWidth="19.140625" defaultRowHeight="15" x14ac:dyDescent="0.25"/>
  <cols>
    <col min="1" max="1" width="3.42578125" customWidth="1"/>
    <col min="2" max="2" width="9.85546875" bestFit="1" customWidth="1"/>
    <col min="3" max="3" width="88.5703125" customWidth="1"/>
    <col min="4" max="4" width="11.42578125" customWidth="1"/>
    <col min="5" max="5" width="14.140625" customWidth="1"/>
    <col min="6" max="6" width="8.42578125" customWidth="1"/>
    <col min="7" max="7" width="8.42578125" style="4" customWidth="1"/>
    <col min="8" max="8" width="14.140625" style="4" customWidth="1"/>
    <col min="9" max="9" width="15.42578125" customWidth="1"/>
    <col min="10" max="10" width="19" style="4" customWidth="1"/>
    <col min="11" max="11" width="9.42578125" customWidth="1"/>
    <col min="12" max="12" width="17.140625" style="62" customWidth="1"/>
    <col min="13" max="13" width="6.7109375" style="4" customWidth="1"/>
    <col min="14" max="14" width="9.85546875" customWidth="1"/>
    <col min="15" max="15" width="14.85546875" style="4" customWidth="1"/>
    <col min="16" max="16" width="7.7109375" style="4" customWidth="1"/>
    <col min="17" max="17" width="7.140625" customWidth="1"/>
    <col min="18" max="18" width="12.5703125" customWidth="1"/>
    <col min="19" max="19" width="6.85546875" customWidth="1"/>
    <col min="20" max="21" width="7.5703125" bestFit="1" customWidth="1"/>
    <col min="22" max="22" width="7.42578125" customWidth="1"/>
    <col min="23" max="24" width="5.140625" customWidth="1"/>
    <col min="25" max="25" width="8.28515625" customWidth="1"/>
    <col min="26" max="27" width="5.140625" customWidth="1"/>
    <col min="28" max="28" width="10.85546875" style="49" customWidth="1"/>
    <col min="32" max="32" width="8.85546875" customWidth="1"/>
    <col min="33" max="33" width="14.140625" customWidth="1"/>
    <col min="34" max="34" width="19.140625" customWidth="1"/>
  </cols>
  <sheetData>
    <row r="1" spans="1:30" x14ac:dyDescent="0.25">
      <c r="G1" s="86" t="s">
        <v>483</v>
      </c>
      <c r="H1" s="86" t="s">
        <v>483</v>
      </c>
      <c r="I1" t="s">
        <v>484</v>
      </c>
      <c r="J1" s="86" t="s">
        <v>485</v>
      </c>
      <c r="K1" s="186" t="s">
        <v>486</v>
      </c>
      <c r="L1" s="87" t="s">
        <v>487</v>
      </c>
      <c r="M1" s="86"/>
      <c r="O1" s="86"/>
      <c r="P1" s="86"/>
      <c r="Q1" t="s">
        <v>483</v>
      </c>
      <c r="R1" t="s">
        <v>483</v>
      </c>
      <c r="S1" t="s">
        <v>486</v>
      </c>
      <c r="T1" t="s">
        <v>488</v>
      </c>
      <c r="Z1" t="s">
        <v>483</v>
      </c>
      <c r="AA1" t="s">
        <v>483</v>
      </c>
      <c r="AB1" s="49" t="s">
        <v>483</v>
      </c>
      <c r="AC1" t="s">
        <v>489</v>
      </c>
      <c r="AD1" t="s">
        <v>489</v>
      </c>
    </row>
    <row r="2" spans="1:30" ht="24" x14ac:dyDescent="0.25">
      <c r="B2" s="98" t="s">
        <v>1</v>
      </c>
      <c r="C2" s="98" t="s">
        <v>2</v>
      </c>
      <c r="D2" s="98" t="s">
        <v>3</v>
      </c>
      <c r="E2" s="98" t="s">
        <v>4</v>
      </c>
      <c r="F2" s="98" t="s">
        <v>490</v>
      </c>
      <c r="G2" s="98" t="s">
        <v>491</v>
      </c>
      <c r="H2" s="98" t="s">
        <v>7</v>
      </c>
      <c r="I2" s="98" t="s">
        <v>492</v>
      </c>
      <c r="J2" s="99" t="s">
        <v>493</v>
      </c>
      <c r="K2" s="99" t="s">
        <v>494</v>
      </c>
      <c r="L2" s="100" t="s">
        <v>8</v>
      </c>
      <c r="M2" s="98" t="s">
        <v>9</v>
      </c>
      <c r="N2" s="98" t="s">
        <v>282</v>
      </c>
      <c r="O2" s="98" t="s">
        <v>495</v>
      </c>
      <c r="P2" s="98" t="s">
        <v>273</v>
      </c>
      <c r="Q2" s="3" t="s">
        <v>496</v>
      </c>
      <c r="R2" s="3" t="s">
        <v>497</v>
      </c>
      <c r="S2" s="3" t="s">
        <v>498</v>
      </c>
      <c r="T2" s="3" t="s">
        <v>275</v>
      </c>
      <c r="U2" s="3" t="s">
        <v>276</v>
      </c>
      <c r="V2" s="3" t="s">
        <v>277</v>
      </c>
      <c r="W2" s="3" t="s">
        <v>278</v>
      </c>
      <c r="X2" s="3" t="s">
        <v>279</v>
      </c>
      <c r="Y2" s="3" t="s">
        <v>499</v>
      </c>
      <c r="Z2" s="3" t="s">
        <v>500</v>
      </c>
      <c r="AA2" s="3" t="s">
        <v>501</v>
      </c>
      <c r="AB2" s="54" t="s">
        <v>502</v>
      </c>
      <c r="AC2" s="3" t="s">
        <v>503</v>
      </c>
      <c r="AD2" s="3" t="s">
        <v>504</v>
      </c>
    </row>
    <row r="3" spans="1:30" x14ac:dyDescent="0.25">
      <c r="A3" s="142"/>
      <c r="B3" s="420"/>
      <c r="C3" s="142" t="s">
        <v>753</v>
      </c>
      <c r="D3" s="421"/>
      <c r="E3" s="142"/>
      <c r="F3" s="422"/>
      <c r="G3" s="142">
        <v>8</v>
      </c>
      <c r="H3" s="142">
        <v>1.6</v>
      </c>
      <c r="I3" s="66">
        <f t="shared" ref="I3:I35" si="0">VLOOKUP(H3,$AF$3:$AG$156,2,FALSE)</f>
        <v>8</v>
      </c>
      <c r="J3" s="142">
        <v>1.6</v>
      </c>
      <c r="K3" s="66">
        <f t="shared" ref="K3:K35" si="1">IF(J3 &gt; 0, VLOOKUP(J3,$AF$3:$AG$103,2,FALSE),0)</f>
        <v>8</v>
      </c>
      <c r="L3" s="196"/>
      <c r="M3" s="391" t="s">
        <v>89</v>
      </c>
      <c r="N3" s="391" t="s">
        <v>282</v>
      </c>
      <c r="O3" s="391" t="s">
        <v>360</v>
      </c>
      <c r="P3" s="391" t="s">
        <v>183</v>
      </c>
      <c r="Q3" s="393">
        <v>1</v>
      </c>
      <c r="R3" s="393">
        <v>2</v>
      </c>
      <c r="S3" s="393">
        <f t="shared" ref="S3:S27" si="2">(R3+1) - 1</f>
        <v>2</v>
      </c>
      <c r="T3" s="394">
        <f>IF(AND(R3&gt;=1, $A$1 &lt;=1,Q3&lt;=1), (K3/ ((R3 +1) - 1))*(Team!$H$25/10), 0)</f>
        <v>4</v>
      </c>
      <c r="U3" s="394">
        <f ca="1">IF(AND(R3&gt;=2, $A$1 &lt;=2, Q3&lt;=2), ((K3-T3)/ ((R3 +1) - 2))*(Team!$H$26/10), 0)</f>
        <v>4</v>
      </c>
      <c r="V3" s="394">
        <f>IF(AND(R3&gt;=3, $A$1 &lt;=3, Q3&lt;=3), ((K3-(T3+U3))/ ((R3 +1) - 3))*(Team!$H$27/10), 0)</f>
        <v>0</v>
      </c>
      <c r="W3" s="394">
        <f>IF(AND(R3&gt;=4, $A$1 &lt;=4, Q3&lt;=4), ((K3-(T3+U3+V3))/ ((R3 +1) - 4))*(Team!$H$28/10), 0)</f>
        <v>0</v>
      </c>
      <c r="X3" s="394">
        <f>IF(AND(R3&gt;=5, $A$1 &lt;5, Q3&lt;=5), ((K3-(T3+U3+V3+W3))/ ((R3 +1) - 5))*(Team!$H$29/10), 0)</f>
        <v>0</v>
      </c>
      <c r="Y3" s="394">
        <f>IF(AND(R3&gt;=6, $A$1 &lt;6, Q3&lt;=6), ((K3-(T3+U3+V3+W3+X3))/ ((R3 +1) - 6))*(Team!$H$30/10),  0)</f>
        <v>0</v>
      </c>
      <c r="Z3" s="67"/>
      <c r="AA3" s="67"/>
      <c r="AB3" s="196"/>
      <c r="AC3" s="60">
        <f t="shared" ref="AC3:AC8" si="3">(H3-J3)/H3</f>
        <v>0</v>
      </c>
      <c r="AD3" s="60">
        <f>IF(AC3=1, G3,0)</f>
        <v>0</v>
      </c>
    </row>
    <row r="4" spans="1:30" x14ac:dyDescent="0.25">
      <c r="A4" s="142"/>
      <c r="B4" s="423"/>
      <c r="C4" s="142" t="s">
        <v>754</v>
      </c>
      <c r="D4" s="421"/>
      <c r="E4" s="142"/>
      <c r="F4" s="422"/>
      <c r="G4" s="142">
        <v>8</v>
      </c>
      <c r="H4" s="142">
        <v>1.6</v>
      </c>
      <c r="I4" s="66">
        <f t="shared" si="0"/>
        <v>8</v>
      </c>
      <c r="J4" s="142">
        <v>1.6</v>
      </c>
      <c r="K4" s="66">
        <f t="shared" si="1"/>
        <v>8</v>
      </c>
      <c r="L4" s="196"/>
      <c r="M4" s="391" t="s">
        <v>89</v>
      </c>
      <c r="N4" s="391" t="s">
        <v>282</v>
      </c>
      <c r="O4" s="391" t="s">
        <v>360</v>
      </c>
      <c r="P4" s="391" t="s">
        <v>183</v>
      </c>
      <c r="Q4" s="393">
        <v>1</v>
      </c>
      <c r="R4" s="393">
        <v>4</v>
      </c>
      <c r="S4" s="393">
        <f t="shared" ref="S4" si="4">(R4+1) - 1</f>
        <v>4</v>
      </c>
      <c r="T4" s="394">
        <f>IF(AND(R4&gt;=1, $A$1 &lt;=1,Q4&lt;=1), (K4/ ((R4 +1) - 1))*(Team!$H$25/10), 0)</f>
        <v>2</v>
      </c>
      <c r="U4" s="394">
        <f ca="1">IF(AND(R4&gt;=2, $A$1 &lt;=2, Q4&lt;=2), ((K4-T4)/ ((R4 +1) - 2))*(Team!$H$26/10), 0)</f>
        <v>2</v>
      </c>
      <c r="V4" s="394">
        <f ca="1">IF(AND(R4&gt;=3, $A$1 &lt;=3, Q4&lt;=3), ((K4-(T4+U4))/ ((R4 +1) - 3))*(Team!$H$27/10), 0)</f>
        <v>2</v>
      </c>
      <c r="W4" s="394">
        <f ca="1">IF(AND(R4&gt;=4, $A$1 &lt;=4, Q4&lt;=4), ((K4-(T4+U4+V4))/ ((R4 +1) - 4))*(Team!$H$28/10), 0)</f>
        <v>2</v>
      </c>
      <c r="X4" s="394">
        <f>IF(AND(R4&gt;=5, $A$1 &lt;5, Q4&lt;=5), ((K4-(T4+U4+V4+W4))/ ((R4 +1) - 5))*(Team!$H$29/10), 0)</f>
        <v>0</v>
      </c>
      <c r="Y4" s="394">
        <f>IF(AND(R4&gt;=6, $A$1 &lt;6, Q4&lt;=6), ((K4-(T4+U4+V4+W4+X4))/ ((R4 +1) - 6))*(Team!$H$30/10),  0)</f>
        <v>0</v>
      </c>
      <c r="Z4" s="67"/>
      <c r="AA4" s="67"/>
      <c r="AB4" s="196"/>
      <c r="AC4" s="60">
        <f t="shared" si="3"/>
        <v>0</v>
      </c>
      <c r="AD4" s="60">
        <f>IF(AC4=1, G4,0)</f>
        <v>0</v>
      </c>
    </row>
    <row r="5" spans="1:30" s="219" customFormat="1" x14ac:dyDescent="0.25">
      <c r="A5" s="423"/>
      <c r="B5" s="423"/>
      <c r="C5" s="142" t="s">
        <v>755</v>
      </c>
      <c r="D5" s="423"/>
      <c r="E5" s="423"/>
      <c r="F5" s="424"/>
      <c r="G5" s="423">
        <v>8</v>
      </c>
      <c r="H5" s="142">
        <v>1.6</v>
      </c>
      <c r="I5" s="66">
        <f t="shared" si="0"/>
        <v>8</v>
      </c>
      <c r="J5" s="142">
        <v>1.6</v>
      </c>
      <c r="K5" s="390">
        <f t="shared" si="1"/>
        <v>8</v>
      </c>
      <c r="L5" s="216"/>
      <c r="M5" s="391" t="s">
        <v>89</v>
      </c>
      <c r="N5" s="391" t="s">
        <v>282</v>
      </c>
      <c r="O5" s="391" t="s">
        <v>360</v>
      </c>
      <c r="P5" s="391" t="s">
        <v>183</v>
      </c>
      <c r="Q5" s="393">
        <v>3</v>
      </c>
      <c r="R5" s="393">
        <v>6</v>
      </c>
      <c r="S5" s="393">
        <f t="shared" ref="S5" si="5">(R5+1) - 1</f>
        <v>6</v>
      </c>
      <c r="T5" s="394">
        <f>IF(AND(R5&gt;=1, $A$1 &lt;=1,Q5&lt;=1), (K5/ ((R5 +1) - 1))*(Team!$H$25/10), 0)</f>
        <v>0</v>
      </c>
      <c r="U5" s="394">
        <f>IF(AND(R5&gt;=2, $A$1 &lt;=2, Q5&lt;=2), ((K5-T5)/ ((R5 +1) - 2))*(Team!$H$26/10), 0)</f>
        <v>0</v>
      </c>
      <c r="V5" s="394">
        <f ca="1">IF(AND(R5&gt;=3, $A$1 &lt;=3, Q5&lt;=3), ((K5-(T5+U5))/ ((R5 +1) - 3))*(Team!$H$27/10), 0)</f>
        <v>2</v>
      </c>
      <c r="W5" s="394">
        <f ca="1">IF(AND(R5&gt;=4, $A$1 &lt;=4, Q5&lt;=4), ((K5-(T5+U5+V5))/ ((R5 +1) - 4))*(Team!$H$28/10), 0)</f>
        <v>2</v>
      </c>
      <c r="X5" s="394">
        <f ca="1">IF(AND(R5&gt;=5, $A$1 &lt;5, Q5&lt;=5), ((K5-(T5+U5+V5+W5))/ ((R5 +1) - 5))*(Team!$H$29/10), 0)</f>
        <v>2</v>
      </c>
      <c r="Y5" s="394">
        <f ca="1">IF(AND(R5&gt;=6, $A$1 &lt;6, Q5&lt;=6), ((K5-(T5+U5+V5+W5+X5))/ ((R5 +1) - 6))*(Team!$H$30/10),  0)</f>
        <v>2</v>
      </c>
      <c r="Z5" s="218"/>
      <c r="AA5" s="218"/>
      <c r="AB5" s="216"/>
      <c r="AC5" s="217">
        <f t="shared" si="3"/>
        <v>0</v>
      </c>
      <c r="AD5" s="217">
        <f>IF(AC5=1, G5,0)</f>
        <v>0</v>
      </c>
    </row>
    <row r="6" spans="1:30" s="219" customFormat="1" x14ac:dyDescent="0.25">
      <c r="A6" s="423"/>
      <c r="B6" s="423"/>
      <c r="C6" s="142" t="s">
        <v>756</v>
      </c>
      <c r="D6" s="423"/>
      <c r="E6" s="423"/>
      <c r="F6" s="424"/>
      <c r="G6" s="423">
        <v>8</v>
      </c>
      <c r="H6" s="142">
        <v>1</v>
      </c>
      <c r="I6" s="66">
        <f t="shared" si="0"/>
        <v>5</v>
      </c>
      <c r="J6" s="142">
        <v>1</v>
      </c>
      <c r="K6" s="390">
        <f t="shared" si="1"/>
        <v>5</v>
      </c>
      <c r="L6" s="216"/>
      <c r="M6" s="391" t="s">
        <v>89</v>
      </c>
      <c r="N6" s="391" t="s">
        <v>282</v>
      </c>
      <c r="O6" s="391" t="s">
        <v>360</v>
      </c>
      <c r="P6" s="391" t="s">
        <v>183</v>
      </c>
      <c r="Q6" s="393">
        <v>5</v>
      </c>
      <c r="R6" s="393">
        <v>5</v>
      </c>
      <c r="S6" s="393">
        <f t="shared" ref="S6" si="6">(R6+1) - 1</f>
        <v>5</v>
      </c>
      <c r="T6" s="394">
        <f>IF(AND(R6&gt;=1, $A$1 &lt;=1,Q6&lt;=1), (K6/ ((R6 +1) - 1))*(Team!$H$25/10), 0)</f>
        <v>0</v>
      </c>
      <c r="U6" s="394">
        <f>IF(AND(R6&gt;=2, $A$1 &lt;=2, Q6&lt;=2), ((K6-T6)/ ((R6 +1) - 2))*(Team!$H$26/10), 0)</f>
        <v>0</v>
      </c>
      <c r="V6" s="394">
        <f>IF(AND(R6&gt;=3, $A$1 &lt;=3, Q6&lt;=3), ((K6-(T6+U6))/ ((R6 +1) - 3))*(Team!$H$27/10), 0)</f>
        <v>0</v>
      </c>
      <c r="W6" s="394">
        <f>IF(AND(R6&gt;=4, $A$1 &lt;=4, Q6&lt;=4), ((K6-(T6+U6+V6))/ ((R6 +1) - 4))*(Team!$H$28/10), 0)</f>
        <v>0</v>
      </c>
      <c r="X6" s="394">
        <f ca="1">IF(AND(R6&gt;=5, $A$1 &lt;5, Q6&lt;=5), ((K6-(T6+U6+V6+W6))/ ((R6 +1) - 5))*(Team!$H$29/10), 0)</f>
        <v>5</v>
      </c>
      <c r="Y6" s="394">
        <f>IF(AND(R6&gt;=6, $A$1 &lt;6, Q6&lt;=6), ((K6-(T6+U6+V6+W6+X6))/ ((R6 +1) - 6))*(Team!$H$30/10),  0)</f>
        <v>0</v>
      </c>
      <c r="Z6" s="218"/>
      <c r="AA6" s="218"/>
      <c r="AB6" s="216"/>
      <c r="AC6" s="217">
        <f t="shared" si="3"/>
        <v>0</v>
      </c>
      <c r="AD6" s="217">
        <f>IF(AC6=1, G6,0)</f>
        <v>0</v>
      </c>
    </row>
    <row r="7" spans="1:30" s="219" customFormat="1" x14ac:dyDescent="0.25">
      <c r="A7" s="423"/>
      <c r="B7" s="423"/>
      <c r="C7" s="142" t="s">
        <v>695</v>
      </c>
      <c r="D7" s="423"/>
      <c r="E7" s="423"/>
      <c r="F7" s="424"/>
      <c r="G7" s="423">
        <v>9</v>
      </c>
      <c r="H7" s="142">
        <v>1.6</v>
      </c>
      <c r="I7" s="66">
        <f t="shared" si="0"/>
        <v>8</v>
      </c>
      <c r="J7" s="142">
        <v>1.6</v>
      </c>
      <c r="K7" s="390">
        <f t="shared" si="1"/>
        <v>8</v>
      </c>
      <c r="L7" s="216"/>
      <c r="M7" s="391" t="s">
        <v>89</v>
      </c>
      <c r="N7" s="391" t="s">
        <v>282</v>
      </c>
      <c r="O7" s="391" t="s">
        <v>360</v>
      </c>
      <c r="P7" s="391" t="s">
        <v>183</v>
      </c>
      <c r="Q7" s="393">
        <v>1</v>
      </c>
      <c r="R7" s="393">
        <v>2</v>
      </c>
      <c r="S7" s="393">
        <f t="shared" ref="S7" si="7">(R7+1) - 1</f>
        <v>2</v>
      </c>
      <c r="T7" s="394">
        <f>IF(AND(R7&gt;=1, $A$1 &lt;=1,Q7&lt;=1), (K7/ ((R7 +1) - 1))*(Team!$H$25/10), 0)</f>
        <v>4</v>
      </c>
      <c r="U7" s="394">
        <f ca="1">IF(AND(R7&gt;=2, $A$1 &lt;=2, Q7&lt;=2), ((K7-T7)/ ((R7 +1) - 2))*(Team!$H$26/10), 0)</f>
        <v>4</v>
      </c>
      <c r="V7" s="394">
        <f>IF(AND(R7&gt;=3, $A$1 &lt;=3, Q7&lt;=3), ((K7-(T7+U7))/ ((R7 +1) - 3))*(Team!$H$27/10), 0)</f>
        <v>0</v>
      </c>
      <c r="W7" s="394">
        <f>IF(AND(R7&gt;=4, $A$1 &lt;=4, Q7&lt;=4), ((K7-(T7+U7+V7))/ ((R7 +1) - 4))*(Team!$H$28/10), 0)</f>
        <v>0</v>
      </c>
      <c r="X7" s="394">
        <f>IF(AND(R7&gt;=5, $A$1 &lt;5, Q7&lt;=5), ((K7-(T7+U7+V7+W7))/ ((R7 +1) - 5))*(Team!$H$29/10), 0)</f>
        <v>0</v>
      </c>
      <c r="Y7" s="394">
        <f>IF(AND(R7&gt;=6, $A$1 &lt;6, Q7&lt;=6), ((K7-(T7+U7+V7+W7+X7))/ ((R7 +1) - 6))*(Team!$H$30/10),  0)</f>
        <v>0</v>
      </c>
      <c r="Z7" s="218"/>
      <c r="AA7" s="218"/>
      <c r="AB7" s="216"/>
      <c r="AC7" s="217">
        <f t="shared" si="3"/>
        <v>0</v>
      </c>
      <c r="AD7" s="217"/>
    </row>
    <row r="8" spans="1:30" x14ac:dyDescent="0.25">
      <c r="A8" s="142"/>
      <c r="B8" s="142"/>
      <c r="C8" s="142" t="s">
        <v>696</v>
      </c>
      <c r="D8" s="421"/>
      <c r="E8" s="142"/>
      <c r="F8" s="422"/>
      <c r="G8" s="142">
        <v>9</v>
      </c>
      <c r="H8" s="142">
        <v>1.6</v>
      </c>
      <c r="I8" s="66">
        <f t="shared" si="0"/>
        <v>8</v>
      </c>
      <c r="J8" s="142">
        <v>1.6</v>
      </c>
      <c r="K8" s="66">
        <f t="shared" si="1"/>
        <v>8</v>
      </c>
      <c r="L8" s="196"/>
      <c r="M8" s="391" t="s">
        <v>89</v>
      </c>
      <c r="N8" s="391" t="s">
        <v>282</v>
      </c>
      <c r="O8" s="391" t="s">
        <v>360</v>
      </c>
      <c r="P8" s="391" t="s">
        <v>183</v>
      </c>
      <c r="Q8" s="393">
        <v>1</v>
      </c>
      <c r="R8" s="393">
        <v>4</v>
      </c>
      <c r="S8" s="393">
        <f t="shared" ref="S8" si="8">(R8+1) - 1</f>
        <v>4</v>
      </c>
      <c r="T8" s="394">
        <f>IF(AND(R8&gt;=1, $A$1 &lt;=1,Q8&lt;=1), (K8/ ((R8 +1) - 1))*(Team!$H$25/10), 0)</f>
        <v>2</v>
      </c>
      <c r="U8" s="394">
        <f ca="1">IF(AND(R8&gt;=2, $A$1 &lt;=2, Q8&lt;=2), ((K8-T8)/ ((R8 +1) - 2))*(Team!$H$26/10), 0)</f>
        <v>2</v>
      </c>
      <c r="V8" s="394">
        <f ca="1">IF(AND(R8&gt;=3, $A$1 &lt;=3, Q8&lt;=3), ((K8-(T8+U8))/ ((R8 +1) - 3))*(Team!$H$27/10), 0)</f>
        <v>2</v>
      </c>
      <c r="W8" s="394">
        <f ca="1">IF(AND(R8&gt;=4, $A$1 &lt;=4, Q8&lt;=4), ((K8-(T8+U8+V8))/ ((R8 +1) - 4))*(Team!$H$28/10), 0)</f>
        <v>2</v>
      </c>
      <c r="X8" s="394">
        <f>IF(AND(R8&gt;=5, $A$1 &lt;5, Q8&lt;=5), ((K8-(T8+U8+V8+W8))/ ((R8 +1) - 5))*(Team!$H$29/10), 0)</f>
        <v>0</v>
      </c>
      <c r="Y8" s="394">
        <f>IF(AND(R8&gt;=6, $A$1 &lt;6, Q8&lt;=6), ((K8-(T8+U8+V8+W8+X8))/ ((R8 +1) - 6))*(Team!$H$30/10),  0)</f>
        <v>0</v>
      </c>
      <c r="Z8" s="67"/>
      <c r="AA8" s="67"/>
      <c r="AB8" s="196"/>
      <c r="AC8" s="60">
        <f t="shared" si="3"/>
        <v>0</v>
      </c>
      <c r="AD8" s="60"/>
    </row>
    <row r="9" spans="1:30" x14ac:dyDescent="0.25">
      <c r="A9" s="142"/>
      <c r="B9" s="142"/>
      <c r="C9" s="142" t="s">
        <v>697</v>
      </c>
      <c r="D9" s="421"/>
      <c r="E9" s="142"/>
      <c r="F9" s="422"/>
      <c r="G9" s="142">
        <v>9</v>
      </c>
      <c r="H9" s="142">
        <v>1.6</v>
      </c>
      <c r="I9" s="66">
        <f t="shared" si="0"/>
        <v>8</v>
      </c>
      <c r="J9" s="142">
        <v>1.6</v>
      </c>
      <c r="K9" s="66">
        <f t="shared" si="1"/>
        <v>8</v>
      </c>
      <c r="L9" s="196"/>
      <c r="M9" s="391" t="s">
        <v>89</v>
      </c>
      <c r="N9" s="391" t="s">
        <v>282</v>
      </c>
      <c r="O9" s="391" t="s">
        <v>360</v>
      </c>
      <c r="P9" s="391" t="s">
        <v>183</v>
      </c>
      <c r="Q9" s="393">
        <v>3</v>
      </c>
      <c r="R9" s="393">
        <v>6</v>
      </c>
      <c r="S9" s="393">
        <f t="shared" si="2"/>
        <v>6</v>
      </c>
      <c r="T9" s="394">
        <f>IF(AND(R9&gt;=1, $A$1 &lt;=1,Q9&lt;=1), (K9/ ((R9 +1) - 1))*(Team!$H$25/10), 0)</f>
        <v>0</v>
      </c>
      <c r="U9" s="394">
        <f>IF(AND(R9&gt;=2, $A$1 &lt;=2, Q9&lt;=2), ((K9-T9)/ ((R9 +1) - 2))*(Team!$H$26/10), 0)</f>
        <v>0</v>
      </c>
      <c r="V9" s="394">
        <f ca="1">IF(AND(R9&gt;=3, $A$1 &lt;=3, Q9&lt;=3), ((K9-(T9+U9))/ ((R9 +1) - 3))*(Team!$H$27/10), 0)</f>
        <v>2</v>
      </c>
      <c r="W9" s="394">
        <f ca="1">IF(AND(R9&gt;=4, $A$1 &lt;=4, Q9&lt;=4), ((K9-(T9+U9+V9))/ ((R9 +1) - 4))*(Team!$H$28/10), 0)</f>
        <v>2</v>
      </c>
      <c r="X9" s="394">
        <f ca="1">IF(AND(R9&gt;=5, $A$1 &lt;5, Q9&lt;=5), ((K9-(T9+U9+V9+W9))/ ((R9 +1) - 5))*(Team!$H$29/10), 0)</f>
        <v>2</v>
      </c>
      <c r="Y9" s="394">
        <f ca="1">IF(AND(R9&gt;=6, $A$1 &lt;6, Q9&lt;=6), ((K9-(T9+U9+V9+W9+X9))/ ((R9 +1) - 6))*(Team!$H$30/10),  0)</f>
        <v>2</v>
      </c>
      <c r="Z9" s="67"/>
      <c r="AA9" s="67"/>
      <c r="AB9" s="196"/>
      <c r="AC9" s="60">
        <f t="shared" ref="AC9:AC29" si="9">(H9-J9)/H9</f>
        <v>0</v>
      </c>
      <c r="AD9" s="60">
        <f t="shared" ref="AD9:AD29" si="10">IF(AC9=1, G9,0)</f>
        <v>0</v>
      </c>
    </row>
    <row r="10" spans="1:30" x14ac:dyDescent="0.25">
      <c r="A10" s="142"/>
      <c r="B10" s="142"/>
      <c r="C10" s="142" t="s">
        <v>698</v>
      </c>
      <c r="D10" s="421"/>
      <c r="E10" s="142"/>
      <c r="F10" s="422"/>
      <c r="G10" s="142">
        <v>9</v>
      </c>
      <c r="H10" s="142">
        <v>1</v>
      </c>
      <c r="I10" s="66">
        <f t="shared" si="0"/>
        <v>5</v>
      </c>
      <c r="J10" s="142">
        <v>1</v>
      </c>
      <c r="K10" s="66">
        <f t="shared" si="1"/>
        <v>5</v>
      </c>
      <c r="L10" s="196"/>
      <c r="M10" s="391" t="s">
        <v>89</v>
      </c>
      <c r="N10" s="391" t="s">
        <v>282</v>
      </c>
      <c r="O10" s="391" t="s">
        <v>360</v>
      </c>
      <c r="P10" s="391" t="s">
        <v>183</v>
      </c>
      <c r="Q10" s="393">
        <v>5</v>
      </c>
      <c r="R10" s="393">
        <v>6</v>
      </c>
      <c r="S10" s="393">
        <f t="shared" ref="S10" si="11">(R10+1) - 1</f>
        <v>6</v>
      </c>
      <c r="T10" s="394">
        <f>IF(AND(R10&gt;=1, $A$1 &lt;=1,Q10&lt;=1), (K10/ ((R10 +1) - 1))*(Team!$H$25/10), 0)</f>
        <v>0</v>
      </c>
      <c r="U10" s="394">
        <f>IF(AND(R10&gt;=2, $A$1 &lt;=2, Q10&lt;=2), ((K10-T10)/ ((R10 +1) - 2))*(Team!$H$26/10), 0)</f>
        <v>0</v>
      </c>
      <c r="V10" s="394">
        <f>IF(AND(R10&gt;=3, $A$1 &lt;=3, Q10&lt;=3), ((K10-(T10+U10))/ ((R10 +1) - 3))*(Team!$H$27/10), 0)</f>
        <v>0</v>
      </c>
      <c r="W10" s="394">
        <f>IF(AND(R10&gt;=4, $A$1 &lt;=4, Q10&lt;=4), ((K10-(T10+U10+V10))/ ((R10 +1) - 4))*(Team!$H$28/10), 0)</f>
        <v>0</v>
      </c>
      <c r="X10" s="394">
        <f ca="1">IF(AND(R10&gt;=5, $A$1 &lt;5, Q10&lt;=5), ((K10-(T10+U10+V10+W10))/ ((R10 +1) - 5))*(Team!$H$29/10), 0)</f>
        <v>2.5</v>
      </c>
      <c r="Y10" s="394">
        <f ca="1">IF(AND(R10&gt;=6, $A$1 &lt;6, Q10&lt;=6), ((K10-(T10+U10+V10+W10+X10))/ ((R10 +1) - 6))*(Team!$H$30/10),  0)</f>
        <v>2.5</v>
      </c>
      <c r="Z10" s="67"/>
      <c r="AA10" s="67"/>
      <c r="AB10" s="196"/>
      <c r="AC10" s="60">
        <f t="shared" si="9"/>
        <v>0</v>
      </c>
      <c r="AD10" s="60">
        <f t="shared" si="10"/>
        <v>0</v>
      </c>
    </row>
    <row r="11" spans="1:30" x14ac:dyDescent="0.25">
      <c r="A11" s="142"/>
      <c r="B11" s="142"/>
      <c r="C11" s="142" t="s">
        <v>712</v>
      </c>
      <c r="D11" s="421"/>
      <c r="E11" s="142"/>
      <c r="F11" s="422"/>
      <c r="G11" s="142">
        <v>9</v>
      </c>
      <c r="H11" s="142">
        <v>6</v>
      </c>
      <c r="I11" s="66">
        <f t="shared" si="0"/>
        <v>30</v>
      </c>
      <c r="J11" s="142">
        <v>6</v>
      </c>
      <c r="K11" s="66">
        <f t="shared" si="1"/>
        <v>30</v>
      </c>
      <c r="L11" s="196"/>
      <c r="M11" s="391" t="s">
        <v>89</v>
      </c>
      <c r="N11" s="391" t="s">
        <v>282</v>
      </c>
      <c r="O11" s="391" t="s">
        <v>360</v>
      </c>
      <c r="P11" s="391" t="s">
        <v>183</v>
      </c>
      <c r="Q11" s="393">
        <v>1</v>
      </c>
      <c r="R11" s="393">
        <v>2</v>
      </c>
      <c r="S11" s="393">
        <f t="shared" ref="S11" si="12">(R11+1) - 1</f>
        <v>2</v>
      </c>
      <c r="T11" s="394">
        <f>IF(AND(R11&gt;=1, $A$1 &lt;=1,Q11&lt;=1), (K11/ ((R11 +1) - 1))*(Team!$H$25/10), 0)</f>
        <v>15</v>
      </c>
      <c r="U11" s="394">
        <f ca="1">IF(AND(R11&gt;=2, $A$1 &lt;=2, Q11&lt;=2), ((K11-T11)/ ((R11 +1) - 2))*(Team!$H$26/10), 0)</f>
        <v>15</v>
      </c>
      <c r="V11" s="394">
        <f>IF(AND(R11&gt;=3, $A$1 &lt;=3, Q11&lt;=3), ((K11-(T11+U11))/ ((R11 +1) - 3))*(Team!$H$27/10), 0)</f>
        <v>0</v>
      </c>
      <c r="W11" s="394">
        <f>IF(AND(R11&gt;=4, $A$1 &lt;=4, Q11&lt;=4), ((K11-(T11+U11+V11))/ ((R11 +1) - 4))*(Team!$H$28/10), 0)</f>
        <v>0</v>
      </c>
      <c r="X11" s="394">
        <f>IF(AND(R11&gt;=5, $A$1 &lt;5, Q11&lt;=5), ((K11-(T11+U11+V11+W11))/ ((R11 +1) - 5))*(Team!$H$29/10), 0)</f>
        <v>0</v>
      </c>
      <c r="Y11" s="394">
        <f>IF(AND(R11&gt;=6, $A$1 &lt;6, Q11&lt;=6), ((K11-(T11+U11+V11+W11+X11))/ ((R11 +1) - 6))*(Team!$H$30/10),  0)</f>
        <v>0</v>
      </c>
      <c r="Z11" s="67"/>
      <c r="AA11" s="67"/>
      <c r="AB11" s="196"/>
      <c r="AC11" s="60">
        <f t="shared" si="9"/>
        <v>0</v>
      </c>
      <c r="AD11" s="60">
        <f t="shared" si="10"/>
        <v>0</v>
      </c>
    </row>
    <row r="12" spans="1:30" x14ac:dyDescent="0.25">
      <c r="A12" s="142"/>
      <c r="B12" s="142"/>
      <c r="C12" s="142" t="s">
        <v>713</v>
      </c>
      <c r="D12" s="421"/>
      <c r="E12" s="142"/>
      <c r="F12" s="422"/>
      <c r="G12" s="142">
        <v>8</v>
      </c>
      <c r="H12" s="142">
        <v>3</v>
      </c>
      <c r="I12" s="66">
        <f t="shared" si="0"/>
        <v>15</v>
      </c>
      <c r="J12" s="142">
        <v>3</v>
      </c>
      <c r="K12" s="66">
        <f t="shared" si="1"/>
        <v>15</v>
      </c>
      <c r="L12" s="196"/>
      <c r="M12" s="391" t="s">
        <v>89</v>
      </c>
      <c r="N12" s="391" t="s">
        <v>282</v>
      </c>
      <c r="O12" s="391" t="s">
        <v>506</v>
      </c>
      <c r="P12" s="391" t="s">
        <v>183</v>
      </c>
      <c r="Q12" s="393">
        <v>2</v>
      </c>
      <c r="R12" s="393">
        <v>4</v>
      </c>
      <c r="S12" s="393">
        <f t="shared" si="2"/>
        <v>4</v>
      </c>
      <c r="T12" s="394">
        <f>IF(AND(R12&gt;=1, $A$1 &lt;=1,Q12&lt;=1), (K12/ ((R12 +1) - 1))*(Team!$H$25/10), 0)</f>
        <v>0</v>
      </c>
      <c r="U12" s="394">
        <f ca="1">IF(AND(R12&gt;=2, $A$1 &lt;=2, Q12&lt;=2), ((K12-T12)/ ((R12 +1) - 2))*(Team!$H$26/10), 0)</f>
        <v>5</v>
      </c>
      <c r="V12" s="394">
        <f ca="1">IF(AND(R12&gt;=3, $A$1 &lt;=3, Q12&lt;=3), ((K12-(T12+U12))/ ((R12 +1) - 3))*(Team!$H$27/10), 0)</f>
        <v>5</v>
      </c>
      <c r="W12" s="394">
        <f ca="1">IF(AND(R12&gt;=4, $A$1 &lt;=4, Q12&lt;=4), ((K12-(T12+U12+V12))/ ((R12 +1) - 4))*(Team!$H$28/10), 0)</f>
        <v>5</v>
      </c>
      <c r="X12" s="394">
        <f>IF(AND(R12&gt;=5, $A$1 &lt;5, Q12&lt;=5), ((K12-(T12+U12+V12+W12))/ ((R12 +1) - 5))*(Team!$H$29/10), 0)</f>
        <v>0</v>
      </c>
      <c r="Y12" s="394">
        <f>IF(AND(R12&gt;=6, $A$1 &lt;6, Q12&lt;=6), ((K12-(T12+U12+V12+W12+X12))/ ((R12 +1) - 6))*(Team!$H$30/10),  0)</f>
        <v>0</v>
      </c>
      <c r="Z12" s="67"/>
      <c r="AA12" s="67"/>
      <c r="AB12" s="196"/>
      <c r="AC12" s="60">
        <f t="shared" si="9"/>
        <v>0</v>
      </c>
      <c r="AD12" s="60">
        <f t="shared" si="10"/>
        <v>0</v>
      </c>
    </row>
    <row r="13" spans="1:30" x14ac:dyDescent="0.25">
      <c r="A13" s="142"/>
      <c r="B13" s="142"/>
      <c r="C13" s="142" t="s">
        <v>714</v>
      </c>
      <c r="D13" s="425"/>
      <c r="E13" s="425"/>
      <c r="F13" s="426"/>
      <c r="G13" s="425">
        <v>8</v>
      </c>
      <c r="H13" s="142">
        <v>3</v>
      </c>
      <c r="I13" s="66">
        <f t="shared" si="0"/>
        <v>15</v>
      </c>
      <c r="J13" s="142">
        <v>3</v>
      </c>
      <c r="K13" s="390">
        <f t="shared" si="1"/>
        <v>15</v>
      </c>
      <c r="L13" s="207"/>
      <c r="M13" s="391" t="s">
        <v>89</v>
      </c>
      <c r="N13" s="391" t="s">
        <v>282</v>
      </c>
      <c r="O13" s="391" t="s">
        <v>506</v>
      </c>
      <c r="P13" s="391" t="s">
        <v>183</v>
      </c>
      <c r="Q13" s="393">
        <v>3</v>
      </c>
      <c r="R13" s="393">
        <v>6</v>
      </c>
      <c r="S13" s="393">
        <f t="shared" si="2"/>
        <v>6</v>
      </c>
      <c r="T13" s="394">
        <f>IF(AND(R13&gt;=1, $A$1 &lt;=1,Q13&lt;=1), (K13/ ((R13 +1) - 1))*(Team!$H$25/10), 0)</f>
        <v>0</v>
      </c>
      <c r="U13" s="394">
        <f>IF(AND(R13&gt;=2, $A$1 &lt;=2, Q13&lt;=2), ((K13-T13)/ ((R13 +1) - 2))*(Team!$H$26/10), 0)</f>
        <v>0</v>
      </c>
      <c r="V13" s="394">
        <f ca="1">IF(AND(R13&gt;=3, $A$1 &lt;=3, Q13&lt;=3), ((K13-(T13+U13))/ ((R13 +1) - 3))*(Team!$H$27/10), 0)</f>
        <v>3.75</v>
      </c>
      <c r="W13" s="394">
        <f ca="1">IF(AND(R13&gt;=4, $A$1 &lt;=4, Q13&lt;=4), ((K13-(T13+U13+V13))/ ((R13 +1) - 4))*(Team!$H$28/10), 0)</f>
        <v>3.75</v>
      </c>
      <c r="X13" s="394">
        <f ca="1">IF(AND(R13&gt;=5, $A$1 &lt;5, Q13&lt;=5), ((K13-(T13+U13+V13+W13))/ ((R13 +1) - 5))*(Team!$H$29/10), 0)</f>
        <v>3.75</v>
      </c>
      <c r="Y13" s="394">
        <f ca="1">IF(AND(R13&gt;=6, $A$1 &lt;6, Q13&lt;=6), ((K13-(T13+U13+V13+W13+X13))/ ((R13 +1) - 6))*(Team!$H$30/10),  0)</f>
        <v>3.75</v>
      </c>
      <c r="Z13" s="67"/>
      <c r="AA13" s="67"/>
      <c r="AB13" s="196"/>
      <c r="AC13" s="60">
        <f t="shared" si="9"/>
        <v>0</v>
      </c>
      <c r="AD13" s="60">
        <f t="shared" si="10"/>
        <v>0</v>
      </c>
    </row>
    <row r="14" spans="1:30" x14ac:dyDescent="0.25">
      <c r="A14" s="142"/>
      <c r="B14" s="142"/>
      <c r="C14" s="142" t="s">
        <v>715</v>
      </c>
      <c r="D14" s="421"/>
      <c r="E14" s="142"/>
      <c r="F14" s="427"/>
      <c r="G14" s="142">
        <v>6</v>
      </c>
      <c r="H14" s="142">
        <v>1</v>
      </c>
      <c r="I14" s="390">
        <f t="shared" si="0"/>
        <v>5</v>
      </c>
      <c r="J14" s="142">
        <v>1</v>
      </c>
      <c r="K14" s="390">
        <f t="shared" si="1"/>
        <v>5</v>
      </c>
      <c r="L14" s="196"/>
      <c r="M14" s="4" t="s">
        <v>89</v>
      </c>
      <c r="N14" s="4" t="s">
        <v>282</v>
      </c>
      <c r="O14" s="4" t="s">
        <v>507</v>
      </c>
      <c r="P14" s="4" t="s">
        <v>183</v>
      </c>
      <c r="Q14" s="406">
        <v>5</v>
      </c>
      <c r="R14" s="406">
        <v>5</v>
      </c>
      <c r="S14" s="406">
        <f>(R14+1) - 1</f>
        <v>5</v>
      </c>
      <c r="T14" s="405">
        <f>IF(AND(R14&gt;=1, $A$1 &lt;=1,Q14&lt;=1), (K14/ ((R14 +1) - 1))*(Team!$H$25/10), 0)</f>
        <v>0</v>
      </c>
      <c r="U14" s="405">
        <f>IF(AND(R14&gt;=2, $A$1 &lt;=2, Q14&lt;=2), ((K14-T14)/ ((R14 +1) - 2))*(Team!$H$26/10), 0)</f>
        <v>0</v>
      </c>
      <c r="V14" s="405">
        <f>IF(AND(R14&gt;=3, $A$1 &lt;=3, Q14&lt;=3), ((K14-(T14+U14))/ ((R14 +1) - 3))*(Team!$H$27/10), 0)</f>
        <v>0</v>
      </c>
      <c r="W14" s="405">
        <f>IF(AND(R14&gt;=4, $A$1 &lt;=4, Q14&lt;=4), ((K14-(T14+U14+V14))/ ((R14 +1) - 4))*(Team!$H$28/10), 0)</f>
        <v>0</v>
      </c>
      <c r="X14" s="405">
        <f ca="1">IF(AND(R14&gt;=5, $A$1 &lt;5, Q14&lt;=5), ((K14-(T14+U14+V14+W14))/ ((R14 +1) - 5))*(Team!$H$29/10), 0)</f>
        <v>5</v>
      </c>
      <c r="Y14" s="405">
        <f>IF(AND(R14&gt;=6, $A$1 &lt;6, Q14&lt;=6), ((K14-(T14+U14+V14+W14+X14))/ ((R14 +1) - 6))*(Team!$H$30/10),  0)</f>
        <v>0</v>
      </c>
      <c r="Z14" s="67"/>
      <c r="AA14" s="67"/>
      <c r="AB14" s="196"/>
      <c r="AC14" s="60">
        <f>(H14-J14)/H14</f>
        <v>0</v>
      </c>
      <c r="AD14" s="60">
        <f>IF(AC14=1, G14,0)</f>
        <v>0</v>
      </c>
    </row>
    <row r="15" spans="1:30" s="219" customFormat="1" x14ac:dyDescent="0.25">
      <c r="A15" s="423"/>
      <c r="B15" s="423"/>
      <c r="C15" s="142" t="s">
        <v>725</v>
      </c>
      <c r="D15" s="423"/>
      <c r="E15" s="423"/>
      <c r="F15" s="424"/>
      <c r="G15" s="423">
        <v>8</v>
      </c>
      <c r="H15" s="142">
        <v>3</v>
      </c>
      <c r="I15" s="66">
        <f t="shared" si="0"/>
        <v>15</v>
      </c>
      <c r="J15" s="142">
        <v>3</v>
      </c>
      <c r="K15" s="390">
        <f t="shared" si="1"/>
        <v>15</v>
      </c>
      <c r="L15" s="216"/>
      <c r="M15" s="391" t="s">
        <v>89</v>
      </c>
      <c r="N15" s="391" t="s">
        <v>282</v>
      </c>
      <c r="O15" s="391" t="s">
        <v>506</v>
      </c>
      <c r="P15" s="391" t="s">
        <v>183</v>
      </c>
      <c r="Q15" s="393">
        <v>3</v>
      </c>
      <c r="R15" s="393">
        <v>6</v>
      </c>
      <c r="S15" s="393">
        <f t="shared" si="2"/>
        <v>6</v>
      </c>
      <c r="T15" s="394">
        <f>IF(AND(R15&gt;=1, $A$1 &lt;=1,Q15&lt;=1), (K15/ ((R15 +1) - 1))*(Team!$H$25/10), 0)</f>
        <v>0</v>
      </c>
      <c r="U15" s="394">
        <f>IF(AND(R15&gt;=2, $A$1 &lt;=2, Q15&lt;=2), ((K15-T15)/ ((R15 +1) - 2))*(Team!$H$26/10), 0)</f>
        <v>0</v>
      </c>
      <c r="V15" s="394">
        <f ca="1">IF(AND(R15&gt;=3, $A$1 &lt;=3, Q15&lt;=3), ((K15-(T15+U15))/ ((R15 +1) - 3))*(Team!$H$27/10), 0)</f>
        <v>3.75</v>
      </c>
      <c r="W15" s="394">
        <f ca="1">IF(AND(R15&gt;=4, $A$1 &lt;=4, Q15&lt;=4), ((K15-(T15+U15+V15))/ ((R15 +1) - 4))*(Team!$H$28/10), 0)</f>
        <v>3.75</v>
      </c>
      <c r="X15" s="394">
        <f ca="1">IF(AND(R15&gt;=5, $A$1 &lt;5, Q15&lt;=5), ((K15-(T15+U15+V15+W15))/ ((R15 +1) - 5))*(Team!$H$29/10), 0)</f>
        <v>3.75</v>
      </c>
      <c r="Y15" s="394">
        <f ca="1">IF(AND(R15&gt;=6, $A$1 &lt;6, Q15&lt;=6), ((K15-(T15+U15+V15+W15+X15))/ ((R15 +1) - 6))*(Team!$H$30/10),  0)</f>
        <v>3.75</v>
      </c>
      <c r="Z15" s="218"/>
      <c r="AA15" s="218"/>
      <c r="AB15" s="216"/>
      <c r="AC15" s="217">
        <f t="shared" si="9"/>
        <v>0</v>
      </c>
      <c r="AD15" s="217">
        <f t="shared" si="10"/>
        <v>0</v>
      </c>
    </row>
    <row r="16" spans="1:30" s="219" customFormat="1" x14ac:dyDescent="0.25">
      <c r="A16" s="423"/>
      <c r="B16" s="423"/>
      <c r="C16" s="142" t="s">
        <v>745</v>
      </c>
      <c r="D16" s="423"/>
      <c r="E16" s="423"/>
      <c r="F16" s="424"/>
      <c r="G16" s="423">
        <v>8</v>
      </c>
      <c r="H16" s="142">
        <v>1.6</v>
      </c>
      <c r="I16" s="66">
        <f t="shared" si="0"/>
        <v>8</v>
      </c>
      <c r="J16" s="142">
        <v>1.6</v>
      </c>
      <c r="K16" s="390">
        <f t="shared" si="1"/>
        <v>8</v>
      </c>
      <c r="L16" s="216"/>
      <c r="M16" s="391" t="s">
        <v>89</v>
      </c>
      <c r="N16" s="391" t="s">
        <v>282</v>
      </c>
      <c r="O16" s="391" t="s">
        <v>507</v>
      </c>
      <c r="P16" s="391" t="s">
        <v>183</v>
      </c>
      <c r="Q16" s="393">
        <v>5</v>
      </c>
      <c r="R16" s="393">
        <v>6</v>
      </c>
      <c r="S16" s="393">
        <f t="shared" si="2"/>
        <v>6</v>
      </c>
      <c r="T16" s="394">
        <f>IF(AND(R16&gt;=1, $A$1 &lt;=1,Q16&lt;=1), (K16/ ((R16 +1) - 1))*(Team!$H$25/10), 0)</f>
        <v>0</v>
      </c>
      <c r="U16" s="394">
        <f>IF(AND(R16&gt;=2, $A$1 &lt;=2, Q16&lt;=2), ((K16-T16)/ ((R16 +1) - 2))*(Team!$H$26/10), 0)</f>
        <v>0</v>
      </c>
      <c r="V16" s="394">
        <f>IF(AND(R16&gt;=3, $A$1 &lt;=3, Q16&lt;=3), ((K16-(T16+U16))/ ((R16 +1) - 3))*(Team!$H$27/10), 0)</f>
        <v>0</v>
      </c>
      <c r="W16" s="394">
        <f>IF(AND(R16&gt;=4, $A$1 &lt;=4, Q16&lt;=4), ((K16-(T16+U16+V16))/ ((R16 +1) - 4))*(Team!$H$28/10), 0)</f>
        <v>0</v>
      </c>
      <c r="X16" s="394">
        <f ca="1">IF(AND(R16&gt;=5, $A$1 &lt;5, Q16&lt;=5), ((K16-(T16+U16+V16+W16))/ ((R16 +1) - 5))*(Team!$H$29/10), 0)</f>
        <v>4</v>
      </c>
      <c r="Y16" s="394">
        <f ca="1">IF(AND(R16&gt;=6, $A$1 &lt;6, Q16&lt;=6), ((K16-(T16+U16+V16+W16+X16))/ ((R16 +1) - 6))*(Team!$H$30/10),  0)</f>
        <v>4</v>
      </c>
      <c r="Z16" s="218"/>
      <c r="AA16" s="218"/>
      <c r="AB16" s="216"/>
      <c r="AC16" s="217">
        <f t="shared" si="9"/>
        <v>0</v>
      </c>
      <c r="AD16" s="217">
        <f t="shared" si="10"/>
        <v>0</v>
      </c>
    </row>
    <row r="17" spans="1:30" s="219" customFormat="1" x14ac:dyDescent="0.25">
      <c r="A17" s="423"/>
      <c r="B17" s="423"/>
      <c r="C17" s="142" t="s">
        <v>726</v>
      </c>
      <c r="D17" s="423"/>
      <c r="E17" s="423"/>
      <c r="F17" s="439"/>
      <c r="G17" s="423">
        <v>7</v>
      </c>
      <c r="H17" s="142">
        <v>3</v>
      </c>
      <c r="I17" s="390">
        <f t="shared" si="0"/>
        <v>15</v>
      </c>
      <c r="J17" s="142">
        <v>3</v>
      </c>
      <c r="K17" s="390">
        <f t="shared" si="1"/>
        <v>15</v>
      </c>
      <c r="L17" s="216"/>
      <c r="M17" s="4" t="s">
        <v>89</v>
      </c>
      <c r="N17" s="4" t="s">
        <v>282</v>
      </c>
      <c r="O17" s="4" t="s">
        <v>507</v>
      </c>
      <c r="P17" s="4" t="s">
        <v>183</v>
      </c>
      <c r="Q17" s="406">
        <v>1</v>
      </c>
      <c r="R17" s="406">
        <v>6</v>
      </c>
      <c r="S17" s="406">
        <f>(R17+1) - 1</f>
        <v>6</v>
      </c>
      <c r="T17" s="405">
        <f>IF(AND(R17&gt;=1, $A$1 &lt;=1,Q17&lt;=1), (K17/ ((R17 +1) - 1))*(Team!$H$25/10), 0)</f>
        <v>2.5</v>
      </c>
      <c r="U17" s="405">
        <f ca="1">IF(AND(R17&gt;=2, $A$1 &lt;=2, Q17&lt;=2), ((K17-T17)/ ((R17 +1) - 2))*(Team!$H$26/10), 0)</f>
        <v>2.5</v>
      </c>
      <c r="V17" s="405">
        <f ca="1">IF(AND(R17&gt;=3, $A$1 &lt;=3, Q17&lt;=3), ((K17-(T17+U17))/ ((R17 +1) - 3))*(Team!$H$27/10), 0)</f>
        <v>2.5</v>
      </c>
      <c r="W17" s="405">
        <f ca="1">IF(AND(R17&gt;=4, $A$1 &lt;=4, Q17&lt;=4), ((K17-(T17+U17+V17))/ ((R17 +1) - 4))*(Team!$H$28/10), 0)</f>
        <v>2.5</v>
      </c>
      <c r="X17" s="405">
        <f ca="1">IF(AND(R17&gt;=5, $A$1 &lt;5, Q17&lt;=5), ((K17-(T17+U17+V17+W17))/ ((R17 +1) - 5))*(Team!$H$29/10), 0)</f>
        <v>2.5</v>
      </c>
      <c r="Y17" s="405">
        <f ca="1">IF(AND(R17&gt;=6, $A$1 &lt;6, Q17&lt;=6), ((K17-(T17+U17+V17+W17+X17))/ ((R17 +1) - 6))*(Team!$H$30/10),  0)</f>
        <v>2.5</v>
      </c>
      <c r="Z17" s="218"/>
      <c r="AA17" s="218"/>
      <c r="AB17" s="216"/>
      <c r="AC17" s="217">
        <f>(H17-J17)/H17</f>
        <v>0</v>
      </c>
      <c r="AD17" s="217">
        <f>IF(AC17=1, G17,0)</f>
        <v>0</v>
      </c>
    </row>
    <row r="18" spans="1:30" s="219" customFormat="1" x14ac:dyDescent="0.25">
      <c r="A18" s="423"/>
      <c r="B18" s="423"/>
      <c r="C18" s="142" t="s">
        <v>751</v>
      </c>
      <c r="D18" s="423"/>
      <c r="E18" s="423"/>
      <c r="F18" s="439"/>
      <c r="G18" s="423">
        <v>7</v>
      </c>
      <c r="H18" s="142">
        <v>1.6</v>
      </c>
      <c r="I18" s="390">
        <f t="shared" si="0"/>
        <v>8</v>
      </c>
      <c r="J18" s="142">
        <v>1.6</v>
      </c>
      <c r="K18" s="390">
        <f t="shared" si="1"/>
        <v>8</v>
      </c>
      <c r="L18" s="216"/>
      <c r="M18" s="4" t="s">
        <v>89</v>
      </c>
      <c r="N18" s="4" t="s">
        <v>282</v>
      </c>
      <c r="O18" s="4" t="s">
        <v>507</v>
      </c>
      <c r="P18" s="4" t="s">
        <v>183</v>
      </c>
      <c r="Q18" s="406">
        <v>1</v>
      </c>
      <c r="R18" s="406">
        <v>4</v>
      </c>
      <c r="S18" s="406">
        <f>(R18+1) - 1</f>
        <v>4</v>
      </c>
      <c r="T18" s="405">
        <f>IF(AND(R18&gt;=1, $A$1 &lt;=1,Q18&lt;=1), (K18/ ((R18 +1) - 1))*(Team!$H$25/10), 0)</f>
        <v>2</v>
      </c>
      <c r="U18" s="405">
        <f ca="1">IF(AND(R18&gt;=2, $A$1 &lt;=2, Q18&lt;=2), ((K18-T18)/ ((R18 +1) - 2))*(Team!$H$26/10), 0)</f>
        <v>2</v>
      </c>
      <c r="V18" s="405">
        <f ca="1">IF(AND(R18&gt;=3, $A$1 &lt;=3, Q18&lt;=3), ((K18-(T18+U18))/ ((R18 +1) - 3))*(Team!$H$27/10), 0)</f>
        <v>2</v>
      </c>
      <c r="W18" s="405">
        <f ca="1">IF(AND(R18&gt;=4, $A$1 &lt;=4, Q18&lt;=4), ((K18-(T18+U18+V18))/ ((R18 +1) - 4))*(Team!$H$28/10), 0)</f>
        <v>2</v>
      </c>
      <c r="X18" s="405">
        <f>IF(AND(R18&gt;=5, $A$1 &lt;5, Q18&lt;=5), ((K18-(T18+U18+V18+W18))/ ((R18 +1) - 5))*(Team!$H$29/10), 0)</f>
        <v>0</v>
      </c>
      <c r="Y18" s="405">
        <f>IF(AND(R18&gt;=6, $A$1 &lt;6, Q18&lt;=6), ((K18-(T18+U18+V18+W18+X18))/ ((R18 +1) - 6))*(Team!$H$30/10),  0)</f>
        <v>0</v>
      </c>
      <c r="Z18" s="218"/>
      <c r="AA18" s="218"/>
      <c r="AB18" s="216"/>
      <c r="AC18" s="217">
        <f>(H18-J18)/H18</f>
        <v>0</v>
      </c>
      <c r="AD18" s="217">
        <f>IF(AC18=1, G18,0)</f>
        <v>0</v>
      </c>
    </row>
    <row r="19" spans="1:30" s="219" customFormat="1" x14ac:dyDescent="0.25">
      <c r="A19" s="423"/>
      <c r="B19" s="423"/>
      <c r="C19" s="142" t="s">
        <v>731</v>
      </c>
      <c r="D19" s="423"/>
      <c r="E19" s="423"/>
      <c r="F19" s="439"/>
      <c r="G19" s="423">
        <v>7</v>
      </c>
      <c r="H19" s="142">
        <v>1.6</v>
      </c>
      <c r="I19" s="390">
        <f t="shared" si="0"/>
        <v>8</v>
      </c>
      <c r="J19" s="142">
        <v>1.6</v>
      </c>
      <c r="K19" s="390">
        <f t="shared" si="1"/>
        <v>8</v>
      </c>
      <c r="L19" s="216"/>
      <c r="M19" s="4" t="s">
        <v>89</v>
      </c>
      <c r="N19" s="4" t="s">
        <v>282</v>
      </c>
      <c r="O19" s="4" t="s">
        <v>769</v>
      </c>
      <c r="P19" s="4" t="s">
        <v>183</v>
      </c>
      <c r="Q19" s="406">
        <v>1</v>
      </c>
      <c r="R19" s="406">
        <v>4</v>
      </c>
      <c r="S19" s="406">
        <f>(R19+1) - 1</f>
        <v>4</v>
      </c>
      <c r="T19" s="405">
        <f>IF(AND(R19&gt;=1, $A$1 &lt;=1,Q19&lt;=1), (K19/ ((R19 +1) - 1))*(Team!$H$25/10), 0)</f>
        <v>2</v>
      </c>
      <c r="U19" s="405">
        <f ca="1">IF(AND(R19&gt;=2, $A$1 &lt;=2, Q19&lt;=2), ((K19-T19)/ ((R19 +1) - 2))*(Team!$H$26/10), 0)</f>
        <v>2</v>
      </c>
      <c r="V19" s="405">
        <f ca="1">IF(AND(R19&gt;=3, $A$1 &lt;=3, Q19&lt;=3), ((K19-(T19+U19))/ ((R19 +1) - 3))*(Team!$H$27/10), 0)</f>
        <v>2</v>
      </c>
      <c r="W19" s="405">
        <f ca="1">IF(AND(R19&gt;=4, $A$1 &lt;=4, Q19&lt;=4), ((K19-(T19+U19+V19))/ ((R19 +1) - 4))*(Team!$H$28/10), 0)</f>
        <v>2</v>
      </c>
      <c r="X19" s="405">
        <f>IF(AND(R19&gt;=5, $A$1 &lt;5, Q19&lt;=5), ((K19-(T19+U19+V19+W19))/ ((R19 +1) - 5))*(Team!$H$29/10), 0)</f>
        <v>0</v>
      </c>
      <c r="Y19" s="405">
        <f>IF(AND(R19&gt;=6, $A$1 &lt;6, Q19&lt;=6), ((K19-(T19+U19+V19+W19+X19))/ ((R19 +1) - 6))*(Team!$H$30/10),  0)</f>
        <v>0</v>
      </c>
      <c r="Z19" s="218"/>
      <c r="AA19" s="218"/>
      <c r="AB19" s="216"/>
      <c r="AC19" s="217">
        <f>(H19-J19)/H19</f>
        <v>0</v>
      </c>
      <c r="AD19" s="217">
        <f>IF(AC19=1, G19,0)</f>
        <v>0</v>
      </c>
    </row>
    <row r="20" spans="1:30" s="219" customFormat="1" x14ac:dyDescent="0.25">
      <c r="A20" s="423"/>
      <c r="B20" s="423"/>
      <c r="C20" s="142" t="s">
        <v>757</v>
      </c>
      <c r="D20" s="423"/>
      <c r="E20" s="423"/>
      <c r="F20" s="439"/>
      <c r="G20" s="423">
        <v>7</v>
      </c>
      <c r="H20" s="142">
        <v>2</v>
      </c>
      <c r="I20" s="390">
        <f t="shared" si="0"/>
        <v>10</v>
      </c>
      <c r="J20" s="142">
        <v>2</v>
      </c>
      <c r="K20" s="390">
        <f t="shared" si="1"/>
        <v>10</v>
      </c>
      <c r="L20" s="216"/>
      <c r="M20" s="4" t="s">
        <v>89</v>
      </c>
      <c r="N20" s="4" t="s">
        <v>282</v>
      </c>
      <c r="O20" s="4" t="s">
        <v>507</v>
      </c>
      <c r="P20" s="4" t="s">
        <v>183</v>
      </c>
      <c r="Q20" s="406">
        <v>1</v>
      </c>
      <c r="R20" s="406">
        <v>4</v>
      </c>
      <c r="S20" s="406">
        <v>2</v>
      </c>
      <c r="T20" s="405">
        <f>IF(AND(R20&gt;=1, $A$1 &lt;=1,Q20&lt;=1), (K20/ ((R20 +1) - 1))*(Team!$H$25/10), 0)</f>
        <v>2.5</v>
      </c>
      <c r="U20" s="405">
        <f ca="1">IF(AND(R20&gt;=2, $A$1 &lt;=2, Q20&lt;=2), ((K20-T20)/ ((R20 +1) - 2))*(Team!$H$26/10), 0)</f>
        <v>2.5</v>
      </c>
      <c r="V20" s="405">
        <f ca="1">IF(AND(R20&gt;=3, $A$1 &lt;=3, Q20&lt;=3), ((K20-(T20+U20))/ ((R20 +1) - 3))*(Team!$H$27/10), 0)</f>
        <v>2.5</v>
      </c>
      <c r="W20" s="405">
        <f ca="1">IF(AND(R20&gt;=4, $A$1 &lt;=4, Q20&lt;=4), ((K20-(T20+U20+V20))/ ((R20 +1) - 4))*(Team!$H$28/10), 0)</f>
        <v>2.5</v>
      </c>
      <c r="X20" s="405">
        <f>IF(AND(R20&gt;=5, $A$1 &lt;5, Q20&lt;=5), ((K20-(T20+U20+V20+W20))/ ((R20 +1) - 5))*(Team!$H$29/10), 0)</f>
        <v>0</v>
      </c>
      <c r="Y20" s="405">
        <f>IF(AND(R20&gt;=6, $A$1 &lt;6, Q20&lt;=6), ((K20-(T20+U20+V20+W20+X20))/ ((R20 +1) - 6))*(Team!$H$30/10),  0)</f>
        <v>0</v>
      </c>
      <c r="Z20" s="218"/>
      <c r="AA20" s="218"/>
      <c r="AB20" s="216"/>
      <c r="AC20" s="217">
        <f t="shared" si="9"/>
        <v>0</v>
      </c>
      <c r="AD20" s="217">
        <f t="shared" si="10"/>
        <v>0</v>
      </c>
    </row>
    <row r="21" spans="1:30" s="219" customFormat="1" x14ac:dyDescent="0.25">
      <c r="A21" s="423"/>
      <c r="B21" s="423"/>
      <c r="C21" s="142" t="s">
        <v>760</v>
      </c>
      <c r="D21" s="423"/>
      <c r="E21" s="423"/>
      <c r="F21" s="439"/>
      <c r="G21" s="423">
        <v>7</v>
      </c>
      <c r="H21" s="142">
        <v>0.6</v>
      </c>
      <c r="I21" s="390">
        <f t="shared" si="0"/>
        <v>3</v>
      </c>
      <c r="J21" s="142">
        <v>0.6</v>
      </c>
      <c r="K21" s="390">
        <f t="shared" si="1"/>
        <v>3</v>
      </c>
      <c r="L21" s="216"/>
      <c r="M21" s="4" t="s">
        <v>89</v>
      </c>
      <c r="N21" s="4" t="s">
        <v>282</v>
      </c>
      <c r="O21" s="4" t="s">
        <v>507</v>
      </c>
      <c r="P21" s="4" t="s">
        <v>183</v>
      </c>
      <c r="Q21" s="406">
        <v>1</v>
      </c>
      <c r="R21" s="406">
        <v>4</v>
      </c>
      <c r="S21" s="406">
        <f t="shared" si="2"/>
        <v>4</v>
      </c>
      <c r="T21" s="405">
        <f>IF(AND(R21&gt;=1, $A$1 &lt;=1,Q21&lt;=1), (K21/ ((R21 +1) - 1))*(Team!$H$25/10), 0)</f>
        <v>0.75</v>
      </c>
      <c r="U21" s="405">
        <f ca="1">IF(AND(R21&gt;=2, $A$1 &lt;=2, Q21&lt;=2), ((K21-T21)/ ((R21 +1) - 2))*(Team!$H$26/10), 0)</f>
        <v>0.75</v>
      </c>
      <c r="V21" s="405">
        <f ca="1">IF(AND(R21&gt;=3, $A$1 &lt;=3, Q21&lt;=3), ((K21-(T21+U21))/ ((R21 +1) - 3))*(Team!$H$27/10), 0)</f>
        <v>0.75</v>
      </c>
      <c r="W21" s="405">
        <f ca="1">IF(AND(R21&gt;=4, $A$1 &lt;=4, Q21&lt;=4), ((K21-(T21+U21+V21))/ ((R21 +1) - 4))*(Team!$H$28/10), 0)</f>
        <v>0.75</v>
      </c>
      <c r="X21" s="405">
        <f>IF(AND(R21&gt;=5, $A$1 &lt;5, Q21&lt;=5), ((K21-(T21+U21+V21+W21))/ ((R21 +1) - 5))*(Team!$H$29/10), 0)</f>
        <v>0</v>
      </c>
      <c r="Y21" s="405">
        <f>IF(AND(R21&gt;=6, $A$1 &lt;6, Q21&lt;=6), ((K21-(T21+U21+V21+W21+X21))/ ((R21 +1) - 6))*(Team!$H$30/10),  0)</f>
        <v>0</v>
      </c>
      <c r="Z21" s="218"/>
      <c r="AA21" s="218"/>
      <c r="AB21" s="216"/>
      <c r="AC21" s="217">
        <f t="shared" si="9"/>
        <v>0</v>
      </c>
      <c r="AD21" s="217">
        <f t="shared" si="10"/>
        <v>0</v>
      </c>
    </row>
    <row r="22" spans="1:30" s="219" customFormat="1" x14ac:dyDescent="0.25">
      <c r="A22" s="423"/>
      <c r="B22" s="423"/>
      <c r="C22" s="142" t="s">
        <v>774</v>
      </c>
      <c r="D22" s="423"/>
      <c r="E22" s="423"/>
      <c r="F22" s="439"/>
      <c r="G22" s="423">
        <v>9</v>
      </c>
      <c r="H22" s="142">
        <v>10</v>
      </c>
      <c r="I22" s="390">
        <f t="shared" si="0"/>
        <v>55</v>
      </c>
      <c r="J22" s="142">
        <v>10</v>
      </c>
      <c r="K22" s="390">
        <f t="shared" si="1"/>
        <v>55</v>
      </c>
      <c r="L22" s="216"/>
      <c r="M22" s="4" t="s">
        <v>89</v>
      </c>
      <c r="N22" s="4" t="s">
        <v>282</v>
      </c>
      <c r="O22" s="4" t="s">
        <v>628</v>
      </c>
      <c r="P22" s="4" t="s">
        <v>183</v>
      </c>
      <c r="Q22" s="406">
        <v>2</v>
      </c>
      <c r="R22" s="406">
        <v>5</v>
      </c>
      <c r="S22" s="406">
        <f>(R22+1) - 1</f>
        <v>5</v>
      </c>
      <c r="T22" s="405">
        <f>IF(AND(R22&gt;=1, $A$1 &lt;=1,Q22&lt;=1), (K22/ ((R22 +1) - 1))*(Team!$H$25/10), 0)</f>
        <v>0</v>
      </c>
      <c r="U22" s="405">
        <f ca="1">IF(AND(R22&gt;=2, $A$1 &lt;=2, Q22&lt;=2), ((K22-T22)/ ((R22 +1) - 2))*(Team!$H$26/10), 0)</f>
        <v>13.75</v>
      </c>
      <c r="V22" s="405">
        <f ca="1">IF(AND(R22&gt;=3, $A$1 &lt;=3, Q22&lt;=3), ((K22-(T22+U22))/ ((R22 +1) - 3))*(Team!$H$27/10), 0)</f>
        <v>13.75</v>
      </c>
      <c r="W22" s="405">
        <f ca="1">IF(AND(R22&gt;=4, $A$1 &lt;=4, Q22&lt;=4), ((K22-(T22+U22+V22))/ ((R22 +1) - 4))*(Team!$H$28/10), 0)</f>
        <v>13.75</v>
      </c>
      <c r="X22" s="405">
        <f ca="1">IF(AND(R22&gt;=5, $A$1 &lt;5, Q22&lt;=5), ((K22-(T22+U22+V22+W22))/ ((R22 +1) - 5))*(Team!$H$29/10), 0)</f>
        <v>13.75</v>
      </c>
      <c r="Y22" s="405">
        <f>IF(AND(R22&gt;=6, $A$1 &lt;6, Q22&lt;=6), ((K22-(T22+U22+V22+W22+X22))/ ((R22 +1) - 6))*(Team!$H$30/10),  0)</f>
        <v>0</v>
      </c>
      <c r="Z22" s="218"/>
      <c r="AA22" s="218"/>
      <c r="AB22" s="216"/>
      <c r="AC22" s="217"/>
      <c r="AD22" s="217"/>
    </row>
    <row r="23" spans="1:30" s="219" customFormat="1" x14ac:dyDescent="0.25">
      <c r="A23" s="423"/>
      <c r="B23" s="423"/>
      <c r="C23" s="142" t="s">
        <v>775</v>
      </c>
      <c r="D23" s="423"/>
      <c r="E23" s="423"/>
      <c r="F23" s="439"/>
      <c r="G23" s="423">
        <v>9</v>
      </c>
      <c r="H23" s="142">
        <v>4</v>
      </c>
      <c r="I23" s="390">
        <f t="shared" si="0"/>
        <v>20</v>
      </c>
      <c r="J23" s="142">
        <v>4</v>
      </c>
      <c r="K23" s="390">
        <f t="shared" ref="K23" si="13">IF(J23 &gt; 0, VLOOKUP(J23,$AF$3:$AG$103,2,FALSE),0)</f>
        <v>20</v>
      </c>
      <c r="L23" s="216"/>
      <c r="M23" s="4" t="s">
        <v>89</v>
      </c>
      <c r="N23" s="4" t="s">
        <v>282</v>
      </c>
      <c r="O23" s="4" t="s">
        <v>628</v>
      </c>
      <c r="P23" s="4" t="s">
        <v>183</v>
      </c>
      <c r="Q23" s="406">
        <v>6</v>
      </c>
      <c r="R23" s="406">
        <v>6</v>
      </c>
      <c r="S23" s="406">
        <f>(R23+1) - 1</f>
        <v>6</v>
      </c>
      <c r="T23" s="405">
        <f>IF(AND(R23&gt;=1, $A$1 &lt;=1,Q23&lt;=1), (K23/ ((R23 +1) - 1))*(Team!$H$25/10), 0)</f>
        <v>0</v>
      </c>
      <c r="U23" s="405">
        <f>IF(AND(R23&gt;=2, $A$1 &lt;=2, Q23&lt;=2), ((K23-T23)/ ((R23 +1) - 2))*(Team!$H$26/10), 0)</f>
        <v>0</v>
      </c>
      <c r="V23" s="405">
        <f>IF(AND(R23&gt;=3, $A$1 &lt;=3, Q23&lt;=3), ((K23-(T23+U23))/ ((R23 +1) - 3))*(Team!$H$27/10), 0)</f>
        <v>0</v>
      </c>
      <c r="W23" s="405">
        <f>IF(AND(R23&gt;=4, $A$1 &lt;=4, Q23&lt;=4), ((K23-(T23+U23+V23))/ ((R23 +1) - 4))*(Team!$H$28/10), 0)</f>
        <v>0</v>
      </c>
      <c r="X23" s="405">
        <f>IF(AND(R23&gt;=5, $A$1 &lt;5, Q23&lt;=5), ((K23-(T23+U23+V23+W23))/ ((R23 +1) - 5))*(Team!$H$29/10), 0)</f>
        <v>0</v>
      </c>
      <c r="Y23" s="405">
        <f ca="1">IF(AND(R23&gt;=6, $A$1 &lt;6, Q23&lt;=6), ((K23-(T23+U23+V23+W23+X23))/ ((R23 +1) - 6))*(Team!$H$30/10),  0)</f>
        <v>20</v>
      </c>
      <c r="Z23" s="218"/>
      <c r="AA23" s="218"/>
      <c r="AB23" s="216"/>
      <c r="AC23" s="217"/>
      <c r="AD23" s="217"/>
    </row>
    <row r="24" spans="1:30" s="219" customFormat="1" x14ac:dyDescent="0.25">
      <c r="A24" s="423"/>
      <c r="B24" s="423"/>
      <c r="C24" s="142" t="s">
        <v>770</v>
      </c>
      <c r="D24" s="423"/>
      <c r="E24" s="423"/>
      <c r="F24" s="439"/>
      <c r="G24" s="423">
        <v>7</v>
      </c>
      <c r="H24" s="142">
        <v>3</v>
      </c>
      <c r="I24" s="390">
        <f t="shared" si="0"/>
        <v>15</v>
      </c>
      <c r="J24" s="142">
        <v>3</v>
      </c>
      <c r="K24" s="390">
        <f t="shared" si="1"/>
        <v>15</v>
      </c>
      <c r="L24" s="216"/>
      <c r="M24" s="4" t="s">
        <v>89</v>
      </c>
      <c r="N24" s="4" t="s">
        <v>282</v>
      </c>
      <c r="O24" s="4" t="s">
        <v>360</v>
      </c>
      <c r="P24" s="4" t="s">
        <v>183</v>
      </c>
      <c r="Q24" s="406">
        <v>4</v>
      </c>
      <c r="R24" s="406">
        <v>6</v>
      </c>
      <c r="S24" s="406">
        <f>(R24-Q24) + 1</f>
        <v>3</v>
      </c>
      <c r="T24" s="405">
        <f>IF(AND(R24&gt;=1, $A$1 &lt;=1,Q24&lt;=1), (K24/ ((R24 +1) - 1))*(Team!$H$25/10), 0)</f>
        <v>0</v>
      </c>
      <c r="U24" s="405">
        <f>IF(AND(R24&gt;=2, $A$1 &lt;=2, Q24&lt;=2), ((K24-T24)/ ((R24 +1) - 2))*(Team!$H$26/10), 0)</f>
        <v>0</v>
      </c>
      <c r="V24" s="405">
        <f>IF(AND(R24&gt;=3, $A$1 &lt;=3, Q24&lt;=3), ((K24-(T24+U24))/ ((R24 +1) - 3))*(Team!$H$27/10), 0)</f>
        <v>0</v>
      </c>
      <c r="W24" s="405">
        <f ca="1">IF(AND(R24&gt;=4, $A$1 &lt;=4, Q24&lt;=4), ((K24-(T24+U24+V24))/ ((R24 +1) - 4))*(Team!$H$28/10), 0)</f>
        <v>5</v>
      </c>
      <c r="X24" s="405">
        <f ca="1">IF(AND(R24&gt;=5, $A$1 &lt;5, Q24&lt;=5), ((K24-(T24+U24+V24+W24))/ ((R24 +1) - 5))*(Team!$H$29/10), 0)</f>
        <v>5</v>
      </c>
      <c r="Y24" s="405">
        <f ca="1">IF(AND(R24&gt;=6, $A$1 &lt;6, Q24&lt;=6), ((K24-(T24+U24+V24+W24+X24))/ ((R24 +1) - 6))*(Team!$H$30/10),  0)</f>
        <v>5</v>
      </c>
      <c r="Z24" s="218"/>
      <c r="AA24" s="218"/>
      <c r="AB24" s="216"/>
      <c r="AC24" s="217">
        <f>(H24-J24)/H24</f>
        <v>0</v>
      </c>
      <c r="AD24" s="217">
        <f>IF(AC24=1, G24,0)</f>
        <v>0</v>
      </c>
    </row>
    <row r="25" spans="1:30" x14ac:dyDescent="0.25">
      <c r="A25" s="132"/>
      <c r="B25" s="335"/>
      <c r="C25" s="132" t="s">
        <v>707</v>
      </c>
      <c r="D25" s="407"/>
      <c r="E25" s="132"/>
      <c r="F25" s="408"/>
      <c r="G25" s="132">
        <v>8</v>
      </c>
      <c r="H25" s="132">
        <v>3</v>
      </c>
      <c r="I25" s="66">
        <f t="shared" si="0"/>
        <v>15</v>
      </c>
      <c r="J25" s="132">
        <v>3</v>
      </c>
      <c r="K25" s="66">
        <f t="shared" si="1"/>
        <v>15</v>
      </c>
      <c r="L25" s="216"/>
      <c r="M25" s="391" t="s">
        <v>89</v>
      </c>
      <c r="N25" s="391" t="s">
        <v>282</v>
      </c>
      <c r="O25" s="391" t="s">
        <v>360</v>
      </c>
      <c r="P25" s="391" t="s">
        <v>183</v>
      </c>
      <c r="Q25" s="393">
        <v>1</v>
      </c>
      <c r="R25" s="393">
        <v>2</v>
      </c>
      <c r="S25" s="393">
        <f t="shared" si="2"/>
        <v>2</v>
      </c>
      <c r="T25" s="394">
        <f>IF(AND(R25&gt;=1, $A$1 &lt;=1,Q25&lt;=1), (K25/ ((R25 +1) - 1))*(Team!$H$25/10), 0)</f>
        <v>7.5</v>
      </c>
      <c r="U25" s="394">
        <f ca="1">IF(AND(R25&gt;=2, $A$1 &lt;=2, Q25&lt;=2), ((K25-T25)/ ((R25 +1) - 2))*(Team!$H$26/10), 0)</f>
        <v>7.5</v>
      </c>
      <c r="V25" s="394">
        <f>IF(AND(R25&gt;=3, $A$1 &lt;=3, Q25&lt;=3), ((K25-(T25+U25))/ ((R25 +1) - 3))*(Team!$H$27/10), 0)</f>
        <v>0</v>
      </c>
      <c r="W25" s="394">
        <f>IF(AND(R25&gt;=4, $A$1 &lt;=4, Q25&lt;=4), ((K25-(T25+U25+V25))/ ((R25 +1) - 4))*(Team!$H$28/10), 0)</f>
        <v>0</v>
      </c>
      <c r="X25" s="394">
        <f>IF(AND(R25&gt;=5, $A$1 &lt;5, Q25&lt;=5), ((K25-(T25+U25+V25+W25))/ ((R25 +1) - 5))*(Team!$H$29/10), 0)</f>
        <v>0</v>
      </c>
      <c r="Y25" s="394">
        <f>IF(AND(R25&gt;=6, $A$1 &lt;6, Q25&lt;=6), ((K25-(T25+U25+V25+W25+X25))/ ((R25 +1) - 6))*(Team!$H$30/10),  0)</f>
        <v>0</v>
      </c>
      <c r="Z25" s="67"/>
      <c r="AA25" s="67"/>
      <c r="AB25" s="196"/>
      <c r="AC25" s="60">
        <f t="shared" si="9"/>
        <v>0</v>
      </c>
      <c r="AD25" s="60">
        <f t="shared" si="10"/>
        <v>0</v>
      </c>
    </row>
    <row r="26" spans="1:30" s="223" customFormat="1" x14ac:dyDescent="0.25">
      <c r="A26" s="409"/>
      <c r="B26" s="410"/>
      <c r="C26" s="132" t="s">
        <v>708</v>
      </c>
      <c r="D26" s="409"/>
      <c r="E26" s="409"/>
      <c r="F26" s="411"/>
      <c r="G26" s="409">
        <v>8</v>
      </c>
      <c r="H26" s="132">
        <v>4</v>
      </c>
      <c r="I26" s="66">
        <f t="shared" si="0"/>
        <v>20</v>
      </c>
      <c r="J26" s="132">
        <v>4</v>
      </c>
      <c r="K26" s="390">
        <f t="shared" si="1"/>
        <v>20</v>
      </c>
      <c r="L26" s="216"/>
      <c r="M26" s="392" t="s">
        <v>89</v>
      </c>
      <c r="N26" s="392" t="s">
        <v>282</v>
      </c>
      <c r="O26" s="392" t="s">
        <v>360</v>
      </c>
      <c r="P26" s="392" t="s">
        <v>183</v>
      </c>
      <c r="Q26" s="406">
        <v>1</v>
      </c>
      <c r="R26" s="406">
        <v>4</v>
      </c>
      <c r="S26" s="395">
        <f t="shared" si="2"/>
        <v>4</v>
      </c>
      <c r="T26" s="396">
        <f>IF(AND(R26&gt;=1, $A$1 &lt;=1,Q26&lt;=1), (K26/ ((R26 +1) - 1))*(Team!$H$25/10), 0)</f>
        <v>5</v>
      </c>
      <c r="U26" s="396">
        <f ca="1">IF(AND(R26&gt;=2, $A$1 &lt;=2, Q26&lt;=2), ((K26-T26)/ ((R26 +1) - 2))*(Team!$H$26/10), 0)</f>
        <v>5</v>
      </c>
      <c r="V26" s="396">
        <f ca="1">IF(AND(R26&gt;=3, $A$1 &lt;=3, Q26&lt;=3), ((K26-(T26+U26))/ ((R26 +1) - 3))*(Team!$H$27/10), 0)</f>
        <v>5</v>
      </c>
      <c r="W26" s="396">
        <f ca="1">IF(AND(R26&gt;=4, $A$1 &lt;=4, Q26&lt;=4), ((K26-(T26+U26+V26))/ ((R26 +1) - 4))*(Team!$H$28/10), 0)</f>
        <v>5</v>
      </c>
      <c r="X26" s="396">
        <f>IF(AND(R26&gt;=5, $A$1 &lt;5, Q26&lt;=5), ((K26-(T26+U26+V26+W26))/ ((R26 +1) - 5))*(Team!$H$29/10), 0)</f>
        <v>0</v>
      </c>
      <c r="Y26" s="394">
        <f>IF(AND(R26&gt;=6, $A$1 &lt;6, Q26&lt;=6), ((K26-(T26+U26+V26+W26+X26))/ ((R26 +1) - 6))*(Team!$H$30/10),  0)</f>
        <v>0</v>
      </c>
      <c r="Z26" s="222"/>
      <c r="AA26" s="222"/>
      <c r="AB26" s="220"/>
      <c r="AC26" s="221">
        <f t="shared" si="9"/>
        <v>0</v>
      </c>
      <c r="AD26" s="221">
        <f t="shared" si="10"/>
        <v>0</v>
      </c>
    </row>
    <row r="27" spans="1:30" x14ac:dyDescent="0.25">
      <c r="A27" s="132"/>
      <c r="B27" s="335"/>
      <c r="C27" s="132" t="s">
        <v>709</v>
      </c>
      <c r="D27" s="407"/>
      <c r="E27" s="132"/>
      <c r="F27" s="408"/>
      <c r="G27" s="132">
        <v>8</v>
      </c>
      <c r="H27" s="132">
        <v>4</v>
      </c>
      <c r="I27" s="66">
        <f t="shared" si="0"/>
        <v>20</v>
      </c>
      <c r="J27" s="132">
        <v>4</v>
      </c>
      <c r="K27" s="66">
        <f t="shared" si="1"/>
        <v>20</v>
      </c>
      <c r="L27" s="216"/>
      <c r="M27" s="391" t="s">
        <v>89</v>
      </c>
      <c r="N27" s="391" t="s">
        <v>282</v>
      </c>
      <c r="O27" s="391" t="s">
        <v>360</v>
      </c>
      <c r="P27" s="391" t="s">
        <v>183</v>
      </c>
      <c r="Q27" s="393">
        <v>3</v>
      </c>
      <c r="R27" s="393">
        <v>6</v>
      </c>
      <c r="S27" s="393">
        <f t="shared" si="2"/>
        <v>6</v>
      </c>
      <c r="T27" s="394">
        <f>IF(AND(R27&gt;=1, $A$1 &lt;=1,Q27&lt;=1), (K27/ ((R27 +1) - 1))*(Team!$H$25/10), 0)</f>
        <v>0</v>
      </c>
      <c r="U27" s="394">
        <f>IF(AND(R27&gt;=2, $A$1 &lt;=2, Q27&lt;=2), ((K27-T27)/ ((R27 +1) - 2))*(Team!$H$26/10), 0)</f>
        <v>0</v>
      </c>
      <c r="V27" s="394">
        <f ca="1">IF(AND(R27&gt;=3, $A$1 &lt;=3, Q27&lt;=3), ((K27-(T27+U27))/ ((R27 +1) - 3))*(Team!$H$27/10), 0)</f>
        <v>5</v>
      </c>
      <c r="W27" s="394">
        <f ca="1">IF(AND(R27&gt;=4, $A$1 &lt;=4, Q27&lt;=4), ((K27-(T27+U27+V27))/ ((R27 +1) - 4))*(Team!$H$28/10), 0)</f>
        <v>5</v>
      </c>
      <c r="X27" s="394">
        <f ca="1">IF(AND(R27&gt;=5, $A$1 &lt;5, Q27&lt;=5), ((K27-(T27+U27+V27+W27))/ ((R27 +1) - 5))*(Team!$H$29/10), 0)</f>
        <v>5</v>
      </c>
      <c r="Y27" s="394">
        <f ca="1">IF(AND(R27&gt;=6, $A$1 &lt;6, Q27&lt;=6), ((K27-(T27+U27+V27+W27+X27))/ ((R27 +1) - 6))*(Team!$H$30/10),  0)</f>
        <v>5</v>
      </c>
      <c r="Z27" s="67"/>
      <c r="AA27" s="67"/>
      <c r="AB27" s="196"/>
      <c r="AC27" s="60">
        <f t="shared" si="9"/>
        <v>0</v>
      </c>
      <c r="AD27" s="60">
        <f t="shared" si="10"/>
        <v>0</v>
      </c>
    </row>
    <row r="28" spans="1:30" s="219" customFormat="1" x14ac:dyDescent="0.25">
      <c r="A28" s="412"/>
      <c r="B28" s="413"/>
      <c r="C28" s="132" t="s">
        <v>710</v>
      </c>
      <c r="D28" s="412"/>
      <c r="E28" s="412"/>
      <c r="F28" s="414"/>
      <c r="G28" s="412">
        <v>7</v>
      </c>
      <c r="H28" s="132">
        <v>4</v>
      </c>
      <c r="I28" s="66">
        <f t="shared" si="0"/>
        <v>20</v>
      </c>
      <c r="J28" s="132">
        <v>4</v>
      </c>
      <c r="K28" s="390">
        <f t="shared" si="1"/>
        <v>20</v>
      </c>
      <c r="L28" s="216"/>
      <c r="M28" s="391" t="s">
        <v>89</v>
      </c>
      <c r="N28" s="391" t="s">
        <v>282</v>
      </c>
      <c r="O28" s="391" t="s">
        <v>507</v>
      </c>
      <c r="P28" s="391" t="s">
        <v>183</v>
      </c>
      <c r="Q28" s="393">
        <v>5</v>
      </c>
      <c r="R28" s="393">
        <v>5</v>
      </c>
      <c r="S28" s="393">
        <f>(R28-Q28) + 1</f>
        <v>1</v>
      </c>
      <c r="T28" s="394">
        <f>IF(AND(R28&gt;=1, $A$1 &lt;=1,Q28&lt;=1), (K28/ ((R28 +1) - 1))*(Team!$H$25/10), 0)</f>
        <v>0</v>
      </c>
      <c r="U28" s="394">
        <f>IF(AND(R28&gt;=2, $A$1 &lt;=2, Q28&lt;=2), ((K28-T28)/ ((R28 +1) - 2))*(Team!$H$26/10), 0)</f>
        <v>0</v>
      </c>
      <c r="V28" s="394">
        <f>IF(AND(R28&gt;=3, $A$1 &lt;=3, Q28&lt;=3), ((K28-(T28+U28))/ ((R28 +1) - 3))*(Team!$H$27/10), 0)</f>
        <v>0</v>
      </c>
      <c r="W28" s="394">
        <f>IF(AND(R28&gt;=4, $A$1 &lt;=4, Q28&lt;=4), ((K28-(T28+U28+V28))/ ((R28 +1) - 4))*(Team!$H$28/10), 0)</f>
        <v>0</v>
      </c>
      <c r="X28" s="394">
        <f ca="1">IF(AND(R28&gt;=5, $A$1 &lt;5, Q28&lt;=5), ((K28-(T28+U28+V28+W28))/ ((R28 +1) - 5))*(Team!$H$29/10), 0)</f>
        <v>20</v>
      </c>
      <c r="Y28" s="394">
        <f>IF(AND(R28&gt;=6, $A$1 &lt;6, Q28&lt;=6), ((K28-(T28+U28+V28+W28+X28))/ ((R28 +1) - 6))*(Team!$H$30/10),  0)</f>
        <v>0</v>
      </c>
      <c r="Z28" s="218"/>
      <c r="AA28" s="218"/>
      <c r="AB28" s="216"/>
      <c r="AC28" s="217">
        <f t="shared" si="9"/>
        <v>0</v>
      </c>
      <c r="AD28" s="217">
        <f t="shared" si="10"/>
        <v>0</v>
      </c>
    </row>
    <row r="29" spans="1:30" s="219" customFormat="1" x14ac:dyDescent="0.25">
      <c r="A29" s="412"/>
      <c r="B29" s="413"/>
      <c r="C29" s="132" t="s">
        <v>759</v>
      </c>
      <c r="D29" s="412"/>
      <c r="E29" s="412"/>
      <c r="F29" s="414"/>
      <c r="G29" s="412">
        <v>7</v>
      </c>
      <c r="H29" s="132">
        <v>1.6</v>
      </c>
      <c r="I29" s="66">
        <f t="shared" si="0"/>
        <v>8</v>
      </c>
      <c r="J29" s="132">
        <v>1.6</v>
      </c>
      <c r="K29" s="390">
        <f t="shared" si="1"/>
        <v>8</v>
      </c>
      <c r="L29" s="216"/>
      <c r="M29" s="391" t="s">
        <v>89</v>
      </c>
      <c r="N29" s="391" t="s">
        <v>282</v>
      </c>
      <c r="O29" s="391" t="s">
        <v>507</v>
      </c>
      <c r="P29" s="391" t="s">
        <v>183</v>
      </c>
      <c r="Q29" s="393">
        <v>1</v>
      </c>
      <c r="R29" s="393">
        <v>4</v>
      </c>
      <c r="S29" s="393">
        <f>(R29-Q29) + 1</f>
        <v>4</v>
      </c>
      <c r="T29" s="394">
        <f>IF(AND(R29&gt;=1, $A$1 &lt;=1,Q29&lt;=1), (K29/ ((R29 +1) - 1))*(Team!$H$25/10), 0)</f>
        <v>2</v>
      </c>
      <c r="U29" s="394">
        <f ca="1">IF(AND(R29&gt;=2, $A$1 &lt;=2, Q29&lt;=2), ((K29-T29)/ ((R29 +1) - 2))*(Team!$H$26/10), 0)</f>
        <v>2</v>
      </c>
      <c r="V29" s="394">
        <f ca="1">IF(AND(R29&gt;=3, $A$1 &lt;=3, Q29&lt;=3), ((K29-(T29+U29))/ ((R29 +1) - 3))*(Team!$H$27/10), 0)</f>
        <v>2</v>
      </c>
      <c r="W29" s="394">
        <f ca="1">IF(AND(R29&gt;=4, $A$1 &lt;=4, Q29&lt;=4), ((K29-(T29+U29+V29))/ ((R29 +1) - 4))*(Team!$H$28/10), 0)</f>
        <v>2</v>
      </c>
      <c r="X29" s="394">
        <f>IF(AND(R29&gt;=5, $A$1 &lt;5, Q29&lt;=5), ((K29-(T29+U29+V29+W29))/ ((R29 +1) - 5))*(Team!$H$29/10), 0)</f>
        <v>0</v>
      </c>
      <c r="Y29" s="394">
        <f>IF(AND(R29&gt;=6, $A$1 &lt;6, Q29&lt;=6), ((K29-(T29+U29+V29+W29+X29))/ ((R29 +1) - 6))*(Team!$H$30/10),  0)</f>
        <v>0</v>
      </c>
      <c r="Z29" s="218"/>
      <c r="AA29" s="218"/>
      <c r="AB29" s="216"/>
      <c r="AC29" s="217">
        <f t="shared" si="9"/>
        <v>0</v>
      </c>
      <c r="AD29" s="217">
        <f t="shared" si="10"/>
        <v>0</v>
      </c>
    </row>
    <row r="30" spans="1:30" s="219" customFormat="1" x14ac:dyDescent="0.25">
      <c r="A30" s="412"/>
      <c r="B30" s="413"/>
      <c r="C30" s="132" t="s">
        <v>721</v>
      </c>
      <c r="D30" s="412"/>
      <c r="E30" s="412"/>
      <c r="F30" s="414"/>
      <c r="G30" s="412">
        <v>8</v>
      </c>
      <c r="H30" s="132">
        <v>1.6</v>
      </c>
      <c r="I30" s="66">
        <f t="shared" si="0"/>
        <v>8</v>
      </c>
      <c r="J30" s="132">
        <v>1.6</v>
      </c>
      <c r="K30" s="390">
        <f t="shared" si="1"/>
        <v>8</v>
      </c>
      <c r="L30" s="216"/>
      <c r="M30" s="391" t="s">
        <v>89</v>
      </c>
      <c r="N30" s="391" t="s">
        <v>282</v>
      </c>
      <c r="O30" s="391" t="s">
        <v>507</v>
      </c>
      <c r="P30" s="391" t="s">
        <v>183</v>
      </c>
      <c r="Q30" s="393">
        <v>1</v>
      </c>
      <c r="R30" s="393">
        <v>3</v>
      </c>
      <c r="S30" s="393">
        <f t="shared" ref="S30:S42" si="14">(R30-Q30) + 1</f>
        <v>3</v>
      </c>
      <c r="T30" s="394">
        <f>IF(AND(R30&gt;=1, $A$1 &lt;=1,Q30&lt;=1), (K30/ ((R30 +1) - 1))*(Team!$H$25/10), 0)</f>
        <v>2.6666666666666665</v>
      </c>
      <c r="U30" s="394">
        <f ca="1">IF(AND(R30&gt;=2, $A$1 &lt;=2, Q30&lt;=2), ((K30-T30)/ ((R30 +1) - 2))*(Team!$H$26/10), 0)</f>
        <v>2.666666666666667</v>
      </c>
      <c r="V30" s="394">
        <f ca="1">IF(AND(R30&gt;=3, $A$1 &lt;=3, Q30&lt;=3), ((K30-(T30+U30))/ ((R30 +1) - 3))*(Team!$H$27/10), 0)</f>
        <v>2.6666666666666661</v>
      </c>
      <c r="W30" s="394">
        <f>IF(AND(R30&gt;=4, $A$1 &lt;=4, Q30&lt;=4), ((K30-(T30+U30+V30))/ ((R30 +1) - 4))*(Team!$H$28/10), 0)</f>
        <v>0</v>
      </c>
      <c r="X30" s="394">
        <f>IF(AND(R30&gt;=5, $A$1 &lt;5, Q30&lt;=5), ((K30-(T30+U30+V30+W30))/ ((R30 +1) - 5))*(Team!$H$29/10), 0)</f>
        <v>0</v>
      </c>
      <c r="Y30" s="394">
        <f>IF(AND(R30&gt;=6, $A$1 &lt;6, Q30&lt;=6), ((K30-(T30+U30+V30+W30+X30))/ ((R30 +1) - 6))*(Team!$H$30/10),  0)</f>
        <v>0</v>
      </c>
      <c r="Z30" s="218"/>
      <c r="AA30" s="218"/>
      <c r="AB30" s="216"/>
      <c r="AC30" s="217"/>
      <c r="AD30" s="217"/>
    </row>
    <row r="31" spans="1:30" s="219" customFormat="1" ht="20.25" x14ac:dyDescent="0.35">
      <c r="A31" s="412"/>
      <c r="B31" s="415"/>
      <c r="C31" s="132" t="s">
        <v>722</v>
      </c>
      <c r="D31" s="412"/>
      <c r="E31" s="412"/>
      <c r="F31" s="414"/>
      <c r="G31" s="412">
        <v>8</v>
      </c>
      <c r="H31" s="132">
        <v>1.6</v>
      </c>
      <c r="I31" s="66">
        <f t="shared" si="0"/>
        <v>8</v>
      </c>
      <c r="J31" s="132">
        <v>1.6</v>
      </c>
      <c r="K31" s="390">
        <f t="shared" si="1"/>
        <v>8</v>
      </c>
      <c r="L31" s="216"/>
      <c r="M31" s="391" t="s">
        <v>89</v>
      </c>
      <c r="N31" s="391" t="s">
        <v>282</v>
      </c>
      <c r="O31" s="391" t="s">
        <v>507</v>
      </c>
      <c r="P31" s="391" t="s">
        <v>183</v>
      </c>
      <c r="Q31" s="393">
        <v>5</v>
      </c>
      <c r="R31" s="393">
        <v>6</v>
      </c>
      <c r="S31" s="393">
        <f t="shared" si="14"/>
        <v>2</v>
      </c>
      <c r="T31" s="394">
        <f>IF(AND(R31&gt;=1, $A$1 &lt;=1,Q31&lt;=1), (K31/ ((R31 +1) - 1))*(Team!$H$25/10), 0)</f>
        <v>0</v>
      </c>
      <c r="U31" s="394">
        <f>IF(AND(R31&gt;=2, $A$1 &lt;=2, Q31&lt;=2), ((K31-T31)/ ((R31 +1) - 2))*(Team!$H$26/10), 0)</f>
        <v>0</v>
      </c>
      <c r="V31" s="394">
        <f>IF(AND(R31&gt;=3, $A$1 &lt;=3, Q31&lt;=3), ((K31-(T31+U31))/ ((R31 +1) - 3))*(Team!$H$27/10), 0)</f>
        <v>0</v>
      </c>
      <c r="W31" s="394">
        <f>IF(AND(R31&gt;=4, $A$1 &lt;=4, Q31&lt;=4), ((K31-(T31+U31+V31))/ ((R31 +1) - 4))*(Team!$H$28/10), 0)</f>
        <v>0</v>
      </c>
      <c r="X31" s="394">
        <f ca="1">IF(AND(R31&gt;=5, $A$1 &lt;5, Q31&lt;=5), ((K31-(T31+U31+V31+W31))/ ((R31 +1) - 5))*(Team!$H$29/10), 0)</f>
        <v>4</v>
      </c>
      <c r="Y31" s="394">
        <f ca="1">IF(AND(R31&gt;=6, $A$1 &lt;6, Q31&lt;=6), ((K31-(T31+U31+V31+W31+X31))/ ((R31 +1) - 6))*(Team!$H$30/10),  0)</f>
        <v>4</v>
      </c>
      <c r="Z31" s="218"/>
      <c r="AA31" s="218"/>
      <c r="AB31" s="216"/>
      <c r="AC31" s="217"/>
      <c r="AD31" s="217"/>
    </row>
    <row r="32" spans="1:30" s="219" customFormat="1" x14ac:dyDescent="0.25">
      <c r="A32" s="412"/>
      <c r="B32" s="413"/>
      <c r="C32" s="132" t="s">
        <v>724</v>
      </c>
      <c r="D32" s="412"/>
      <c r="E32" s="412"/>
      <c r="F32" s="414"/>
      <c r="G32" s="412">
        <v>9</v>
      </c>
      <c r="H32" s="132">
        <v>3</v>
      </c>
      <c r="I32" s="66">
        <f t="shared" si="0"/>
        <v>15</v>
      </c>
      <c r="J32" s="132">
        <v>3</v>
      </c>
      <c r="K32" s="390">
        <f t="shared" si="1"/>
        <v>15</v>
      </c>
      <c r="L32" s="216"/>
      <c r="M32" s="391" t="s">
        <v>89</v>
      </c>
      <c r="N32" s="391" t="s">
        <v>282</v>
      </c>
      <c r="O32" s="391" t="s">
        <v>507</v>
      </c>
      <c r="P32" s="391" t="s">
        <v>183</v>
      </c>
      <c r="Q32" s="393">
        <v>1</v>
      </c>
      <c r="R32" s="393">
        <v>6</v>
      </c>
      <c r="S32" s="393">
        <f t="shared" si="14"/>
        <v>6</v>
      </c>
      <c r="T32" s="394">
        <f>IF(AND(R32&gt;=1, $A$1 &lt;=1,Q32&lt;=1), (K32/ ((R32 +1) - 1))*(Team!$H$25/10), 0)</f>
        <v>2.5</v>
      </c>
      <c r="U32" s="394">
        <f ca="1">IF(AND(R32&gt;=2, $A$1 &lt;=2, Q32&lt;=2), ((K32-T32)/ ((R32 +1) - 2))*(Team!$H$26/10), 0)</f>
        <v>2.5</v>
      </c>
      <c r="V32" s="394">
        <f ca="1">IF(AND(R32&gt;=3, $A$1 &lt;=3, Q32&lt;=3), ((K32-(T32+U32))/ ((R32 +1) - 3))*(Team!$H$27/10), 0)</f>
        <v>2.5</v>
      </c>
      <c r="W32" s="394">
        <f ca="1">IF(AND(R32&gt;=4, $A$1 &lt;=4, Q32&lt;=4), ((K32-(T32+U32+V32))/ ((R32 +1) - 4))*(Team!$H$28/10), 0)</f>
        <v>2.5</v>
      </c>
      <c r="X32" s="394">
        <f ca="1">IF(AND(R32&gt;=5, $A$1 &lt;5, Q32&lt;=5), ((K32-(T32+U32+V32+W32))/ ((R32 +1) - 5))*(Team!$H$29/10), 0)</f>
        <v>2.5</v>
      </c>
      <c r="Y32" s="394">
        <f ca="1">IF(AND(R32&gt;=6, $A$1 &lt;6, Q32&lt;=6), ((K32-(T32+U32+V32+W32+X32))/ ((R32 +1) - 6))*(Team!$H$30/10),  0)</f>
        <v>2.5</v>
      </c>
      <c r="Z32" s="218"/>
      <c r="AA32" s="218"/>
      <c r="AB32" s="216"/>
      <c r="AC32" s="217"/>
      <c r="AD32" s="217"/>
    </row>
    <row r="33" spans="1:31" s="398" customFormat="1" x14ac:dyDescent="0.25">
      <c r="A33" s="416"/>
      <c r="B33" s="417"/>
      <c r="C33" s="132" t="s">
        <v>758</v>
      </c>
      <c r="D33" s="418"/>
      <c r="E33" s="416"/>
      <c r="F33" s="419"/>
      <c r="G33" s="412">
        <v>8</v>
      </c>
      <c r="H33" s="132">
        <v>1.6</v>
      </c>
      <c r="I33" s="66">
        <f t="shared" si="0"/>
        <v>8</v>
      </c>
      <c r="J33" s="132">
        <v>1.6</v>
      </c>
      <c r="K33" s="390">
        <f t="shared" si="1"/>
        <v>8</v>
      </c>
      <c r="L33" s="216"/>
      <c r="M33" s="4" t="s">
        <v>89</v>
      </c>
      <c r="N33" s="4" t="s">
        <v>282</v>
      </c>
      <c r="O33" s="4" t="s">
        <v>507</v>
      </c>
      <c r="P33" s="4" t="s">
        <v>183</v>
      </c>
      <c r="Q33" s="406">
        <v>5</v>
      </c>
      <c r="R33" s="406">
        <v>6</v>
      </c>
      <c r="S33" s="406">
        <f>(R33-Q33) + 1</f>
        <v>2</v>
      </c>
      <c r="T33" s="405">
        <f>IF(AND(R33&gt;=1, $A$1 &lt;=1,Q33&lt;=1), (K33/ ((R33 +1) - 1))*(Team!$H$25/10), 0)</f>
        <v>0</v>
      </c>
      <c r="U33" s="405">
        <f>IF(AND(R33&gt;=2, $A$1 &lt;=2, Q33&lt;=2), ((K33-T33)/ ((R33 +1) - 2))*(Team!$H$26/10), 0)</f>
        <v>0</v>
      </c>
      <c r="V33" s="405">
        <f>IF(AND(R33&gt;=3, $A$1 &lt;=3, Q33&lt;=3), ((K33-(T33+U33))/ ((R33 +1) - 3))*(Team!$H$27/10), 0)</f>
        <v>0</v>
      </c>
      <c r="W33" s="405">
        <f>IF(AND(R33&gt;=4, $A$1 &lt;=4, Q33&lt;=4), ((K33-(T33+U33+V33))/ ((R33 +1) - 4))*(Team!$H$28/10), 0)</f>
        <v>0</v>
      </c>
      <c r="X33" s="405">
        <f ca="1">IF(AND(R33&gt;=5, $A$1 &lt;5, Q33&lt;=5), ((K33-(T33+U33+V33+W33))/ ((R33 +1) - 5))*(Team!$H$29/10), 0)</f>
        <v>4</v>
      </c>
      <c r="Y33" s="405">
        <f ca="1">IF(AND(R33&gt;=6, $A$1 &lt;6, Q33&lt;=6), ((K33-(T33+U33+V33+W33+X33))/ ((R33 +1) - 6))*(Team!$H$30/10),  0)</f>
        <v>4</v>
      </c>
      <c r="Z33" s="218"/>
      <c r="AA33" s="218"/>
      <c r="AB33" s="216"/>
      <c r="AC33" s="4"/>
      <c r="AD33" s="4"/>
    </row>
    <row r="34" spans="1:31" s="219" customFormat="1" x14ac:dyDescent="0.25">
      <c r="A34" s="412"/>
      <c r="B34" s="413"/>
      <c r="C34" s="132" t="s">
        <v>510</v>
      </c>
      <c r="D34" s="412"/>
      <c r="E34" s="412"/>
      <c r="F34" s="414"/>
      <c r="G34" s="412">
        <v>6</v>
      </c>
      <c r="H34" s="132">
        <v>1.6</v>
      </c>
      <c r="I34" s="66">
        <f t="shared" si="0"/>
        <v>8</v>
      </c>
      <c r="J34" s="132">
        <v>1.6</v>
      </c>
      <c r="K34" s="390">
        <f t="shared" si="1"/>
        <v>8</v>
      </c>
      <c r="L34" s="216"/>
      <c r="M34" s="391" t="s">
        <v>89</v>
      </c>
      <c r="N34" s="391" t="s">
        <v>282</v>
      </c>
      <c r="O34" s="391" t="s">
        <v>360</v>
      </c>
      <c r="P34" s="391" t="s">
        <v>183</v>
      </c>
      <c r="Q34" s="393">
        <v>5</v>
      </c>
      <c r="R34" s="393">
        <v>6</v>
      </c>
      <c r="S34" s="393">
        <f t="shared" si="14"/>
        <v>2</v>
      </c>
      <c r="T34" s="394">
        <f>IF(AND(R34&gt;=1, $A$1 &lt;=1,Q34&lt;=1), (K34/ ((R34 +1) - 1))*(Team!$H$25/10), 0)</f>
        <v>0</v>
      </c>
      <c r="U34" s="394">
        <f>IF(AND(R34&gt;=2, $A$1 &lt;=2, Q34&lt;=2), ((K34-T34)/ ((R34 +1) - 2))*(Team!$H$26/10), 0)</f>
        <v>0</v>
      </c>
      <c r="V34" s="394">
        <f>IF(AND(R34&gt;=3, $A$1 &lt;=3, Q34&lt;=3), ((K34-(T34+U34))/ ((R34 +1) - 3))*(Team!$H$27/10), 0)</f>
        <v>0</v>
      </c>
      <c r="W34" s="394">
        <f>IF(AND(R34&gt;=4, $A$1 &lt;=4, Q34&lt;=4), ((K34-(T34+U34+V34))/ ((R34 +1) - 4))*(Team!$H$28/10), 0)</f>
        <v>0</v>
      </c>
      <c r="X34" s="394">
        <f ca="1">IF(AND(R34&gt;=5, $A$1 &lt;5, Q34&lt;=5), ((K34-(T34+U34+V34+W34))/ ((R34 +1) - 5))*(Team!$H$29/10), 0)</f>
        <v>4</v>
      </c>
      <c r="Y34" s="394">
        <f ca="1">IF(AND(R34&gt;=6, $A$1 &lt;6, Q34&lt;=6), ((K34-(T34+U34+V34+W34+X34))/ ((R34 +1) - 6))*(Team!$H$30/10),  0)</f>
        <v>4</v>
      </c>
      <c r="Z34" s="218"/>
      <c r="AA34" s="218"/>
      <c r="AB34" s="216"/>
      <c r="AC34" s="217">
        <f>(H34-J34)/H34</f>
        <v>0</v>
      </c>
      <c r="AD34" s="217">
        <f>IF(AC34=1, G34,0)</f>
        <v>0</v>
      </c>
    </row>
    <row r="35" spans="1:31" s="397" customFormat="1" x14ac:dyDescent="0.25">
      <c r="A35" s="412"/>
      <c r="B35" s="413"/>
      <c r="C35" s="132" t="s">
        <v>752</v>
      </c>
      <c r="D35" s="412"/>
      <c r="E35" s="412"/>
      <c r="F35" s="414"/>
      <c r="G35" s="412">
        <v>7</v>
      </c>
      <c r="H35" s="132">
        <v>1.6</v>
      </c>
      <c r="I35" s="66">
        <f t="shared" si="0"/>
        <v>8</v>
      </c>
      <c r="J35" s="132">
        <v>1.6</v>
      </c>
      <c r="K35" s="390">
        <f t="shared" si="1"/>
        <v>8</v>
      </c>
      <c r="L35" s="216"/>
      <c r="M35" s="4" t="s">
        <v>89</v>
      </c>
      <c r="N35" s="4" t="s">
        <v>282</v>
      </c>
      <c r="O35" s="4" t="s">
        <v>360</v>
      </c>
      <c r="P35" s="4" t="s">
        <v>183</v>
      </c>
      <c r="Q35" s="406">
        <v>5</v>
      </c>
      <c r="R35" s="406">
        <v>6</v>
      </c>
      <c r="S35" s="406">
        <f t="shared" si="14"/>
        <v>2</v>
      </c>
      <c r="T35" s="405">
        <f>IF(AND(R35&gt;=1, $A$1 &lt;=1,Q35&lt;=1), (K35/ ((R35 +1) - 1))*(Team!$H$25/10), 0)</f>
        <v>0</v>
      </c>
      <c r="U35" s="405">
        <f>IF(AND(R35&gt;=2, $A$1 &lt;=2, Q35&lt;=2), ((K35-T35)/ ((R35 +1) - 2))*(Team!$H$26/10), 0)</f>
        <v>0</v>
      </c>
      <c r="V35" s="405">
        <f>IF(AND(R35&gt;=3, $A$1 &lt;=3, Q35&lt;=3), ((K35-(T35+U35))/ ((R35 +1) - 3))*(Team!$H$27/10), 0)</f>
        <v>0</v>
      </c>
      <c r="W35" s="405">
        <f>IF(AND(R35&gt;=4, $A$1 &lt;=4, Q35&lt;=4), ((K35-(T35+U35+V35))/ ((R35 +1) - 4))*(Team!$H$28/10), 0)</f>
        <v>0</v>
      </c>
      <c r="X35" s="405">
        <f ca="1">IF(AND(R35&gt;=5, $A$1 &lt;5, Q35&lt;=5), ((K35-(T35+U35+V35+W35))/ ((R35 +1) - 5))*(Team!$H$29/10), 0)</f>
        <v>4</v>
      </c>
      <c r="Y35" s="405">
        <f ca="1">IF(AND(R35&gt;=6, $A$1 &lt;6, Q35&lt;=6), ((K35-(T35+U35+V35+W35+X35))/ ((R35 +1) - 6))*(Team!$H$30/10),  0)</f>
        <v>4</v>
      </c>
      <c r="Z35" s="218"/>
      <c r="AA35" s="218"/>
      <c r="AB35" s="216"/>
      <c r="AC35" s="217">
        <f>(H35-J35)/H35</f>
        <v>0</v>
      </c>
      <c r="AD35" s="217">
        <f>IF(AC35=1, G35,0)</f>
        <v>0</v>
      </c>
      <c r="AE35" s="219"/>
    </row>
    <row r="36" spans="1:31" s="401" customFormat="1" x14ac:dyDescent="0.25">
      <c r="A36" s="412"/>
      <c r="B36" s="413"/>
      <c r="C36" s="132" t="s">
        <v>761</v>
      </c>
      <c r="D36" s="412"/>
      <c r="E36" s="412"/>
      <c r="F36" s="414"/>
      <c r="G36" s="412">
        <v>7</v>
      </c>
      <c r="H36" s="132">
        <v>0.6</v>
      </c>
      <c r="I36" s="66">
        <f t="shared" ref="I36:I63" si="15">VLOOKUP(H36,$AF$3:$AG$156,2,FALSE)</f>
        <v>3</v>
      </c>
      <c r="J36" s="132">
        <v>0.6</v>
      </c>
      <c r="K36" s="390">
        <f t="shared" ref="K36:K63" si="16">IF(J36 &gt; 0, VLOOKUP(J36,$AF$3:$AG$103,2,FALSE),0)</f>
        <v>3</v>
      </c>
      <c r="L36" s="216"/>
      <c r="M36" s="400" t="s">
        <v>89</v>
      </c>
      <c r="N36" s="400" t="s">
        <v>282</v>
      </c>
      <c r="O36" s="400" t="s">
        <v>507</v>
      </c>
      <c r="P36" s="400" t="s">
        <v>183</v>
      </c>
      <c r="Q36" s="406">
        <v>2</v>
      </c>
      <c r="R36" s="406">
        <v>4</v>
      </c>
      <c r="S36" s="406">
        <f t="shared" si="14"/>
        <v>3</v>
      </c>
      <c r="T36" s="405">
        <f>IF(AND(R36&gt;=1, $A$1 &lt;=1,Q36&lt;=1), (K36/ ((R36 +1) - 1))*(Team!$H$25/10), 0)</f>
        <v>0</v>
      </c>
      <c r="U36" s="405">
        <f ca="1">IF(AND(R36&gt;=2, $A$1 &lt;=2, Q36&lt;=2), ((K36-T36)/ ((R36 +1) - 2))*(Team!$H$26/10), 0)</f>
        <v>1</v>
      </c>
      <c r="V36" s="405">
        <f ca="1">IF(AND(R36&gt;=3, $A$1 &lt;=3, Q36&lt;=3), ((K36-(T36+U36))/ ((R36 +1) - 3))*(Team!$H$27/10), 0)</f>
        <v>1</v>
      </c>
      <c r="W36" s="405">
        <f ca="1">IF(AND(R36&gt;=4, $A$1 &lt;=4, Q36&lt;=4), ((K36-(T36+U36+V36))/ ((R36 +1) - 4))*(Team!$H$28/10), 0)</f>
        <v>1</v>
      </c>
      <c r="X36" s="405">
        <f>IF(AND(R36&gt;=5, $A$1 &lt;5, Q36&lt;=5), ((K36-(T36+U36+V36+W36))/ ((R36 +1) - 5))*(Team!$H$29/10), 0)</f>
        <v>0</v>
      </c>
      <c r="Y36" s="405">
        <f>IF(AND(R36&gt;=6, $A$1 &lt;6, Q36&lt;=6), ((K36-(T36+U36+V36+W36+X36))/ ((R36 +1) - 6))*(Team!$H$30/10),  0)</f>
        <v>0</v>
      </c>
      <c r="Z36" s="218"/>
      <c r="AA36" s="218"/>
      <c r="AB36" s="216"/>
      <c r="AC36" s="399"/>
      <c r="AD36" s="399"/>
    </row>
    <row r="37" spans="1:31" s="219" customFormat="1" x14ac:dyDescent="0.25">
      <c r="A37" s="428"/>
      <c r="B37" s="428"/>
      <c r="C37" s="389" t="s">
        <v>511</v>
      </c>
      <c r="D37" s="428"/>
      <c r="E37" s="428"/>
      <c r="F37" s="429"/>
      <c r="G37" s="428">
        <v>7</v>
      </c>
      <c r="H37" s="389">
        <v>1.6</v>
      </c>
      <c r="I37" s="66">
        <f t="shared" si="15"/>
        <v>8</v>
      </c>
      <c r="J37" s="389">
        <v>1.6</v>
      </c>
      <c r="K37" s="215">
        <f t="shared" si="16"/>
        <v>8</v>
      </c>
      <c r="L37" s="216"/>
      <c r="M37" s="391" t="s">
        <v>89</v>
      </c>
      <c r="N37" s="391" t="s">
        <v>282</v>
      </c>
      <c r="O37" s="391" t="s">
        <v>507</v>
      </c>
      <c r="P37" s="391" t="s">
        <v>505</v>
      </c>
      <c r="Q37" s="393">
        <v>2</v>
      </c>
      <c r="R37" s="393">
        <v>3</v>
      </c>
      <c r="S37" s="393">
        <f t="shared" si="14"/>
        <v>2</v>
      </c>
      <c r="T37" s="394">
        <f>IF(AND(R37&gt;=1, $A$1 &lt;=1,Q37&lt;=1), (K37/ ((R37 +1) - 1))*(Team!$H$25/10), 0)</f>
        <v>0</v>
      </c>
      <c r="U37" s="394">
        <f ca="1">IF(AND(R37&gt;=2, $A$1 &lt;=2, Q37&lt;=2), ((K37-T37)/ ((R37 +1) - 2))*(Team!$H$26/10), 0)</f>
        <v>4</v>
      </c>
      <c r="V37" s="394">
        <f ca="1">IF(AND(R37&gt;=3, $A$1 &lt;=3, Q37&lt;=3), ((K37-(T37+U37))/ ((R37 +1) - 3))*(Team!$H$27/10), 0)</f>
        <v>4</v>
      </c>
      <c r="W37" s="394">
        <f>IF(AND(R37&gt;=4, $A$1 &lt;=4, Q37&lt;=4), ((K37-(T37+U37+V37))/ ((R37 +1) - 4))*(Team!$H$28/10), 0)</f>
        <v>0</v>
      </c>
      <c r="X37" s="394">
        <f>IF(AND(R37&gt;=5, $A$1 &lt;5, Q37&lt;=5), ((K37-(T37+U37+V37+W37))/ ((R37 +1) - 5))*(Team!$H$29/10), 0)</f>
        <v>0</v>
      </c>
      <c r="Y37" s="394">
        <f>IF(AND(R37&gt;=6, $A$1 &lt;6, Q37&lt;=6), ((K37-(T37+U37+V37+W37+X37))/ ((R37 +1) - 6))*(Team!$H$30/10),  0)</f>
        <v>0</v>
      </c>
      <c r="Z37" s="218"/>
      <c r="AA37" s="218"/>
      <c r="AB37" s="216"/>
      <c r="AC37" s="217"/>
      <c r="AD37" s="217"/>
    </row>
    <row r="38" spans="1:31" s="219" customFormat="1" x14ac:dyDescent="0.25">
      <c r="A38" s="428"/>
      <c r="B38" s="428"/>
      <c r="C38" s="389" t="s">
        <v>508</v>
      </c>
      <c r="D38" s="428"/>
      <c r="E38" s="428"/>
      <c r="F38" s="429"/>
      <c r="G38" s="428">
        <v>6</v>
      </c>
      <c r="H38" s="389">
        <v>1</v>
      </c>
      <c r="I38" s="66">
        <f t="shared" si="15"/>
        <v>5</v>
      </c>
      <c r="J38" s="389">
        <v>1</v>
      </c>
      <c r="K38" s="215">
        <f t="shared" si="16"/>
        <v>5</v>
      </c>
      <c r="L38" s="216"/>
      <c r="M38" s="391" t="s">
        <v>89</v>
      </c>
      <c r="N38" s="391" t="s">
        <v>282</v>
      </c>
      <c r="O38" s="391" t="s">
        <v>507</v>
      </c>
      <c r="P38" s="391" t="s">
        <v>505</v>
      </c>
      <c r="Q38" s="393">
        <v>1</v>
      </c>
      <c r="R38" s="393">
        <v>6</v>
      </c>
      <c r="S38" s="393">
        <f t="shared" si="14"/>
        <v>6</v>
      </c>
      <c r="T38" s="394">
        <f>IF(AND(R38&gt;=1, $A$1 &lt;=1,Q38&lt;=1), (K38/ ((R38 +1) - 1))*(Team!$H$25/10), 0)</f>
        <v>0.83333333333333337</v>
      </c>
      <c r="U38" s="394">
        <f ca="1">IF(AND(R38&gt;=2, $A$1 &lt;=2, Q38&lt;=2), ((K38-T38)/ ((R38 +1) - 2))*(Team!$H$26/10), 0)</f>
        <v>0.83333333333333337</v>
      </c>
      <c r="V38" s="394">
        <f ca="1">IF(AND(R38&gt;=3, $A$1 &lt;=3, Q38&lt;=3), ((K38-(T38+U38))/ ((R38 +1) - 3))*(Team!$H$27/10), 0)</f>
        <v>0.83333333333333326</v>
      </c>
      <c r="W38" s="394">
        <f ca="1">IF(AND(R38&gt;=4, $A$1 &lt;=4, Q38&lt;=4), ((K38-(T38+U38+V38))/ ((R38 +1) - 4))*(Team!$H$28/10), 0)</f>
        <v>0.83333333333333337</v>
      </c>
      <c r="X38" s="394">
        <f ca="1">IF(AND(R38&gt;=5, $A$1 &lt;5, Q38&lt;=5), ((K38-(T38+U38+V38+W38))/ ((R38 +1) - 5))*(Team!$H$29/10), 0)</f>
        <v>0.83333333333333326</v>
      </c>
      <c r="Y38" s="394">
        <f ca="1">IF(AND(R38&gt;=6, $A$1 &lt;6, Q38&lt;=6), ((K38-(T38+U38+V38+W38+X38))/ ((R38 +1) - 6))*(Team!$H$30/10),  0)</f>
        <v>0.83333333333333304</v>
      </c>
      <c r="Z38" s="218"/>
      <c r="AA38" s="218"/>
      <c r="AB38" s="216"/>
      <c r="AC38" s="217"/>
      <c r="AD38" s="217"/>
    </row>
    <row r="39" spans="1:31" s="219" customFormat="1" x14ac:dyDescent="0.25">
      <c r="A39" s="428"/>
      <c r="B39" s="428"/>
      <c r="C39" s="389" t="s">
        <v>509</v>
      </c>
      <c r="D39" s="428"/>
      <c r="E39" s="428"/>
      <c r="F39" s="429"/>
      <c r="G39" s="428">
        <v>6</v>
      </c>
      <c r="H39" s="389">
        <v>1</v>
      </c>
      <c r="I39" s="66">
        <f t="shared" si="15"/>
        <v>5</v>
      </c>
      <c r="J39" s="389">
        <v>1</v>
      </c>
      <c r="K39" s="215">
        <f t="shared" si="16"/>
        <v>5</v>
      </c>
      <c r="L39" s="216"/>
      <c r="M39" s="391" t="s">
        <v>89</v>
      </c>
      <c r="N39" s="391" t="s">
        <v>282</v>
      </c>
      <c r="O39" s="391" t="s">
        <v>507</v>
      </c>
      <c r="P39" s="391" t="s">
        <v>505</v>
      </c>
      <c r="Q39" s="393">
        <v>1</v>
      </c>
      <c r="R39" s="393">
        <v>6</v>
      </c>
      <c r="S39" s="393">
        <f t="shared" si="14"/>
        <v>6</v>
      </c>
      <c r="T39" s="394">
        <f>IF(AND(R39&gt;=1, $A$1 &lt;=1,Q39&lt;=1), (K39/ ((R39 +1) - 1))*(Team!$H$25/10), 0)</f>
        <v>0.83333333333333337</v>
      </c>
      <c r="U39" s="394">
        <f ca="1">IF(AND(R39&gt;=2, $A$1 &lt;=2, Q39&lt;=2), ((K39-T39)/ ((R39 +1) - 2))*(Team!$H$26/10), 0)</f>
        <v>0.83333333333333337</v>
      </c>
      <c r="V39" s="394">
        <f ca="1">IF(AND(R39&gt;=3, $A$1 &lt;=3, Q39&lt;=3), ((K39-(T39+U39))/ ((R39 +1) - 3))*(Team!$H$27/10), 0)</f>
        <v>0.83333333333333326</v>
      </c>
      <c r="W39" s="394">
        <f ca="1">IF(AND(R39&gt;=4, $A$1 &lt;=4, Q39&lt;=4), ((K39-(T39+U39+V39))/ ((R39 +1) - 4))*(Team!$H$28/10), 0)</f>
        <v>0.83333333333333337</v>
      </c>
      <c r="X39" s="394">
        <f ca="1">IF(AND(R39&gt;=5, $A$1 &lt;5, Q39&lt;=5), ((K39-(T39+U39+V39+W39))/ ((R39 +1) - 5))*(Team!$H$29/10), 0)</f>
        <v>0.83333333333333326</v>
      </c>
      <c r="Y39" s="394">
        <f ca="1">IF(AND(R39&gt;=6, $A$1 &lt;6, Q39&lt;=6), ((K39-(T39+U39+V39+W39+X39))/ ((R39 +1) - 6))*(Team!$H$30/10),  0)</f>
        <v>0.83333333333333304</v>
      </c>
      <c r="Z39" s="218"/>
      <c r="AA39" s="218"/>
      <c r="AB39" s="216"/>
      <c r="AC39" s="217"/>
      <c r="AD39" s="217"/>
    </row>
    <row r="40" spans="1:31" x14ac:dyDescent="0.25">
      <c r="A40" s="389"/>
      <c r="B40" s="389"/>
      <c r="C40" s="389" t="s">
        <v>716</v>
      </c>
      <c r="D40" s="430"/>
      <c r="E40" s="389"/>
      <c r="F40" s="431"/>
      <c r="G40" s="389">
        <v>9</v>
      </c>
      <c r="H40" s="389">
        <v>4</v>
      </c>
      <c r="I40" s="66">
        <f t="shared" si="15"/>
        <v>20</v>
      </c>
      <c r="J40" s="389">
        <v>4</v>
      </c>
      <c r="K40" s="66">
        <f t="shared" si="16"/>
        <v>20</v>
      </c>
      <c r="L40" s="216"/>
      <c r="M40" s="391" t="s">
        <v>89</v>
      </c>
      <c r="N40" s="391" t="s">
        <v>282</v>
      </c>
      <c r="O40" s="391" t="s">
        <v>507</v>
      </c>
      <c r="P40" s="391" t="s">
        <v>505</v>
      </c>
      <c r="Q40" s="393">
        <v>1</v>
      </c>
      <c r="R40" s="393">
        <v>6</v>
      </c>
      <c r="S40" s="393">
        <f t="shared" si="14"/>
        <v>6</v>
      </c>
      <c r="T40" s="394">
        <f>IF(AND(R40&gt;=1, $A$1 &lt;=1,Q40&lt;=1), (K40/ ((R40 +1) - 1))*(Team!$H$25/10), 0)</f>
        <v>3.3333333333333335</v>
      </c>
      <c r="U40" s="394">
        <f ca="1">IF(AND(R40&gt;=2, $A$1 &lt;=2, Q40&lt;=2), ((K40-T40)/ ((R40 +1) - 2))*(Team!$H$26/10), 0)</f>
        <v>3.3333333333333335</v>
      </c>
      <c r="V40" s="394">
        <f ca="1">IF(AND(R40&gt;=3, $A$1 &lt;=3, Q40&lt;=3), ((K40-(T40+U40))/ ((R40 +1) - 3))*(Team!$H$27/10), 0)</f>
        <v>3.333333333333333</v>
      </c>
      <c r="W40" s="394">
        <f ca="1">IF(AND(R40&gt;=4, $A$1 &lt;=4, Q40&lt;=4), ((K40-(T40+U40+V40))/ ((R40 +1) - 4))*(Team!$H$28/10), 0)</f>
        <v>3.3333333333333335</v>
      </c>
      <c r="X40" s="394">
        <f ca="1">IF(AND(R40&gt;=5, $A$1 &lt;5, Q40&lt;=5), ((K40-(T40+U40+V40+W40))/ ((R40 +1) - 5))*(Team!$H$29/10), 0)</f>
        <v>3.333333333333333</v>
      </c>
      <c r="Y40" s="394">
        <f ca="1">IF(AND(R40&gt;=6, $A$1 &lt;6, Q40&lt;=6), ((K40-(T40+U40+V40+W40+X40))/ ((R40 +1) - 6))*(Team!$H$30/10),  0)</f>
        <v>3.3333333333333321</v>
      </c>
      <c r="Z40" s="67"/>
      <c r="AA40" s="67"/>
      <c r="AB40" s="196"/>
      <c r="AC40" s="60"/>
      <c r="AD40" s="60"/>
    </row>
    <row r="41" spans="1:31" x14ac:dyDescent="0.25">
      <c r="A41" s="389"/>
      <c r="B41" s="389"/>
      <c r="C41" s="389" t="s">
        <v>717</v>
      </c>
      <c r="D41" s="430"/>
      <c r="E41" s="389"/>
      <c r="F41" s="431"/>
      <c r="G41" s="389">
        <v>9</v>
      </c>
      <c r="H41" s="389">
        <v>4</v>
      </c>
      <c r="I41" s="66">
        <f t="shared" si="15"/>
        <v>20</v>
      </c>
      <c r="J41" s="389">
        <v>4</v>
      </c>
      <c r="K41" s="66">
        <f t="shared" si="16"/>
        <v>20</v>
      </c>
      <c r="L41" s="216"/>
      <c r="M41" s="391" t="s">
        <v>89</v>
      </c>
      <c r="N41" s="391" t="s">
        <v>282</v>
      </c>
      <c r="O41" s="391" t="s">
        <v>507</v>
      </c>
      <c r="P41" s="391" t="s">
        <v>505</v>
      </c>
      <c r="Q41" s="393">
        <v>1</v>
      </c>
      <c r="R41" s="393">
        <v>6</v>
      </c>
      <c r="S41" s="393">
        <f t="shared" si="14"/>
        <v>6</v>
      </c>
      <c r="T41" s="394">
        <f>IF(AND(R41&gt;=1, $A$1 &lt;=1,Q41&lt;=1), (K41/ ((R41 +1) - 1))*(Team!$H$25/10), 0)</f>
        <v>3.3333333333333335</v>
      </c>
      <c r="U41" s="394">
        <f ca="1">IF(AND(R41&gt;=2, $A$1 &lt;=2, Q41&lt;=2), ((K41-T41)/ ((R41 +1) - 2))*(Team!$H$26/10), 0)</f>
        <v>3.3333333333333335</v>
      </c>
      <c r="V41" s="394">
        <f ca="1">IF(AND(R41&gt;=3, $A$1 &lt;=3, Q41&lt;=3), ((K41-(T41+U41))/ ((R41 +1) - 3))*(Team!$H$27/10), 0)</f>
        <v>3.333333333333333</v>
      </c>
      <c r="W41" s="394">
        <f ca="1">IF(AND(R41&gt;=4, $A$1 &lt;=4, Q41&lt;=4), ((K41-(T41+U41+V41))/ ((R41 +1) - 4))*(Team!$H$28/10), 0)</f>
        <v>3.3333333333333335</v>
      </c>
      <c r="X41" s="394">
        <f ca="1">IF(AND(R41&gt;=5, $A$1 &lt;5, Q41&lt;=5), ((K41-(T41+U41+V41+W41))/ ((R41 +1) - 5))*(Team!$H$29/10), 0)</f>
        <v>3.333333333333333</v>
      </c>
      <c r="Y41" s="394">
        <f ca="1">IF(AND(R41&gt;=6, $A$1 &lt;6, Q41&lt;=6), ((K41-(T41+U41+V41+W41+X41))/ ((R41 +1) - 6))*(Team!$H$30/10),  0)</f>
        <v>3.3333333333333321</v>
      </c>
      <c r="Z41" s="67"/>
      <c r="AA41" s="67"/>
      <c r="AB41" s="196"/>
      <c r="AC41" s="60"/>
      <c r="AD41" s="60"/>
    </row>
    <row r="42" spans="1:31" x14ac:dyDescent="0.25">
      <c r="A42" s="389"/>
      <c r="B42" s="389"/>
      <c r="C42" s="389" t="s">
        <v>718</v>
      </c>
      <c r="D42" s="430"/>
      <c r="E42" s="389"/>
      <c r="F42" s="431"/>
      <c r="G42" s="389">
        <v>7</v>
      </c>
      <c r="H42" s="389">
        <v>1.6</v>
      </c>
      <c r="I42" s="66">
        <f t="shared" si="15"/>
        <v>8</v>
      </c>
      <c r="J42" s="389">
        <v>1.6</v>
      </c>
      <c r="K42" s="66">
        <f t="shared" si="16"/>
        <v>8</v>
      </c>
      <c r="L42" s="216"/>
      <c r="M42" s="391" t="s">
        <v>89</v>
      </c>
      <c r="N42" s="391" t="s">
        <v>282</v>
      </c>
      <c r="O42" s="391" t="s">
        <v>507</v>
      </c>
      <c r="P42" s="391" t="s">
        <v>505</v>
      </c>
      <c r="Q42" s="393">
        <v>1</v>
      </c>
      <c r="R42" s="393">
        <v>6</v>
      </c>
      <c r="S42" s="393">
        <f t="shared" si="14"/>
        <v>6</v>
      </c>
      <c r="T42" s="394">
        <f>IF(AND(R42&gt;=1, $A$1 &lt;=1,Q42&lt;=1), (K42/ ((R42 +1) - 1))*(Team!$H$25/10), 0)</f>
        <v>1.3333333333333333</v>
      </c>
      <c r="U42" s="394">
        <f ca="1">IF(AND(R42&gt;=2, $A$1 &lt;=2, Q42&lt;=2), ((K42-T42)/ ((R42 +1) - 2))*(Team!$H$26/10), 0)</f>
        <v>1.3333333333333335</v>
      </c>
      <c r="V42" s="394">
        <f ca="1">IF(AND(R42&gt;=3, $A$1 &lt;=3, Q42&lt;=3), ((K42-(T42+U42))/ ((R42 +1) - 3))*(Team!$H$27/10), 0)</f>
        <v>1.3333333333333333</v>
      </c>
      <c r="W42" s="394">
        <f ca="1">IF(AND(R42&gt;=4, $A$1 &lt;=4, Q42&lt;=4), ((K42-(T42+U42+V42))/ ((R42 +1) - 4))*(Team!$H$28/10), 0)</f>
        <v>1.3333333333333333</v>
      </c>
      <c r="X42" s="394">
        <f ca="1">IF(AND(R42&gt;=5, $A$1 &lt;5, Q42&lt;=5), ((K42-(T42+U42+V42+W42))/ ((R42 +1) - 5))*(Team!$H$29/10), 0)</f>
        <v>1.3333333333333335</v>
      </c>
      <c r="Y42" s="394">
        <f ca="1">IF(AND(R42&gt;=6, $A$1 &lt;6, Q42&lt;=6), ((K42-(T42+U42+V42+W42+X42))/ ((R42 +1) - 6))*(Team!$H$30/10),  0)</f>
        <v>1.3333333333333339</v>
      </c>
      <c r="Z42" s="67"/>
      <c r="AA42" s="67"/>
      <c r="AB42" s="196"/>
      <c r="AC42" s="60"/>
      <c r="AD42" s="60"/>
    </row>
    <row r="43" spans="1:31" x14ac:dyDescent="0.25">
      <c r="A43" s="389"/>
      <c r="B43" s="389"/>
      <c r="C43" s="389" t="s">
        <v>719</v>
      </c>
      <c r="D43" s="430"/>
      <c r="E43" s="389"/>
      <c r="F43" s="431"/>
      <c r="G43" s="389">
        <v>9</v>
      </c>
      <c r="H43" s="389">
        <v>9</v>
      </c>
      <c r="I43" s="66">
        <f t="shared" si="15"/>
        <v>45</v>
      </c>
      <c r="J43" s="389">
        <v>9</v>
      </c>
      <c r="K43" s="66">
        <f t="shared" si="16"/>
        <v>45</v>
      </c>
      <c r="L43" s="216"/>
      <c r="M43" s="391" t="s">
        <v>89</v>
      </c>
      <c r="N43" s="391" t="s">
        <v>282</v>
      </c>
      <c r="O43" s="391" t="s">
        <v>507</v>
      </c>
      <c r="P43" s="391" t="s">
        <v>505</v>
      </c>
      <c r="Q43" s="393">
        <v>1</v>
      </c>
      <c r="R43" s="393">
        <v>6</v>
      </c>
      <c r="S43" s="393">
        <f t="shared" ref="S43:S63" si="17">(R43+1) - 1</f>
        <v>6</v>
      </c>
      <c r="T43" s="394">
        <f>IF(AND(R43&gt;=1, $A$1 &lt;=1,Q43&lt;=1), (K43/ ((R43 +1) - 1))*(Team!$H$25/10), 0)</f>
        <v>7.5</v>
      </c>
      <c r="U43" s="394">
        <f ca="1">IF(AND(R43&gt;=2, $A$1 &lt;=2, Q43&lt;=2), ((K43-T43)/ ((R43 +1) - 2))*(Team!$H$26/10), 0)</f>
        <v>7.5</v>
      </c>
      <c r="V43" s="394">
        <f ca="1">IF(AND(R43&gt;=3, $A$1 &lt;=3, Q43&lt;=3), ((K43-(T43+U43))/ ((R43 +1) - 3))*(Team!$H$27/10), 0)</f>
        <v>7.5</v>
      </c>
      <c r="W43" s="394">
        <f ca="1">IF(AND(R43&gt;=4, $A$1 &lt;=4, Q43&lt;=4), ((K43-(T43+U43+V43))/ ((R43 +1) - 4))*(Team!$H$28/10), 0)</f>
        <v>7.5</v>
      </c>
      <c r="X43" s="394">
        <f ca="1">IF(AND(R43&gt;=5, $A$1 &lt;5, Q43&lt;=5), ((K43-(T43+U43+V43+W43))/ ((R43 +1) - 5))*(Team!$H$29/10), 0)</f>
        <v>7.5</v>
      </c>
      <c r="Y43" s="394">
        <f ca="1">IF(AND(R43&gt;=6, $A$1 &lt;6, Q43&lt;=6), ((K43-(T43+U43+V43+W43+X43))/ ((R43 +1) - 6))*(Team!$H$30/10),  0)</f>
        <v>7.5</v>
      </c>
      <c r="Z43" s="67"/>
      <c r="AA43" s="67"/>
      <c r="AB43" s="196"/>
      <c r="AC43" s="60">
        <f>(H43-J43)/H43</f>
        <v>0</v>
      </c>
      <c r="AD43" s="60">
        <f>IF(AC43=1, G43,0)</f>
        <v>0</v>
      </c>
    </row>
    <row r="44" spans="1:31" x14ac:dyDescent="0.25">
      <c r="A44" s="389"/>
      <c r="B44" s="389"/>
      <c r="C44" s="389" t="s">
        <v>720</v>
      </c>
      <c r="D44" s="430"/>
      <c r="E44" s="389"/>
      <c r="F44" s="431"/>
      <c r="G44" s="389">
        <v>9</v>
      </c>
      <c r="H44" s="389">
        <v>8</v>
      </c>
      <c r="I44" s="66">
        <f t="shared" si="15"/>
        <v>40</v>
      </c>
      <c r="J44" s="389">
        <v>8</v>
      </c>
      <c r="K44" s="66">
        <f t="shared" si="16"/>
        <v>40</v>
      </c>
      <c r="L44" s="216"/>
      <c r="M44" s="391" t="s">
        <v>89</v>
      </c>
      <c r="N44" s="391" t="s">
        <v>282</v>
      </c>
      <c r="O44" s="391" t="s">
        <v>507</v>
      </c>
      <c r="P44" s="391" t="s">
        <v>505</v>
      </c>
      <c r="Q44" s="393">
        <v>1</v>
      </c>
      <c r="R44" s="393">
        <v>6</v>
      </c>
      <c r="S44" s="393">
        <f t="shared" si="17"/>
        <v>6</v>
      </c>
      <c r="T44" s="394">
        <f>IF(AND(R44&gt;=1, $A$1 &lt;=1,Q44&lt;=1), (K44/ ((R44 +1) - 1))*(Team!$H$25/10), 0)</f>
        <v>6.666666666666667</v>
      </c>
      <c r="U44" s="394">
        <f ca="1">IF(AND(R44&gt;=2, $A$1 &lt;=2, Q44&lt;=2), ((K44-T44)/ ((R44 +1) - 2))*(Team!$H$26/10), 0)</f>
        <v>6.666666666666667</v>
      </c>
      <c r="V44" s="394">
        <f ca="1">IF(AND(R44&gt;=3, $A$1 &lt;=3, Q44&lt;=3), ((K44-(T44+U44))/ ((R44 +1) - 3))*(Team!$H$27/10), 0)</f>
        <v>6.6666666666666661</v>
      </c>
      <c r="W44" s="394">
        <f ca="1">IF(AND(R44&gt;=4, $A$1 &lt;=4, Q44&lt;=4), ((K44-(T44+U44+V44))/ ((R44 +1) - 4))*(Team!$H$28/10), 0)</f>
        <v>6.666666666666667</v>
      </c>
      <c r="X44" s="394">
        <f ca="1">IF(AND(R44&gt;=5, $A$1 &lt;5, Q44&lt;=5), ((K44-(T44+U44+V44+W44))/ ((R44 +1) - 5))*(Team!$H$29/10), 0)</f>
        <v>6.6666666666666661</v>
      </c>
      <c r="Y44" s="394">
        <f ca="1">IF(AND(R44&gt;=6, $A$1 &lt;6, Q44&lt;=6), ((K44-(T44+U44+V44+W44+X44))/ ((R44 +1) - 6))*(Team!$H$30/10),  0)</f>
        <v>6.6666666666666643</v>
      </c>
      <c r="Z44" s="67"/>
      <c r="AA44" s="67"/>
      <c r="AB44" s="196"/>
      <c r="AC44" s="60"/>
      <c r="AD44" s="60"/>
    </row>
    <row r="45" spans="1:31" x14ac:dyDescent="0.25">
      <c r="A45" s="389"/>
      <c r="B45" s="389"/>
      <c r="C45" s="389" t="s">
        <v>699</v>
      </c>
      <c r="D45" s="430"/>
      <c r="E45" s="389"/>
      <c r="F45" s="431"/>
      <c r="G45" s="389">
        <v>9</v>
      </c>
      <c r="H45" s="389">
        <v>6</v>
      </c>
      <c r="I45" s="66">
        <f t="shared" si="15"/>
        <v>30</v>
      </c>
      <c r="J45" s="389">
        <v>6</v>
      </c>
      <c r="K45" s="66">
        <f t="shared" si="16"/>
        <v>30</v>
      </c>
      <c r="L45" s="216"/>
      <c r="M45" s="391" t="s">
        <v>89</v>
      </c>
      <c r="N45" s="391" t="s">
        <v>282</v>
      </c>
      <c r="O45" s="391" t="s">
        <v>360</v>
      </c>
      <c r="P45" s="391" t="s">
        <v>505</v>
      </c>
      <c r="Q45" s="393">
        <v>1</v>
      </c>
      <c r="R45" s="393">
        <v>2</v>
      </c>
      <c r="S45" s="393">
        <f t="shared" si="17"/>
        <v>2</v>
      </c>
      <c r="T45" s="394">
        <f>IF(AND(R45&gt;=1, $A$1 &lt;=1,Q45&lt;=1), (K45/ ((R45 +1) - 1))*(Team!$H$25/10), 0)</f>
        <v>15</v>
      </c>
      <c r="U45" s="394">
        <f ca="1">IF(AND(R45&gt;=2, $A$1 &lt;=2, Q45&lt;=2), ((K45-T45)/ ((R45 +1) - 2))*(Team!$H$26/10), 0)</f>
        <v>15</v>
      </c>
      <c r="V45" s="394">
        <f>IF(AND(R45&gt;=3, $A$1 &lt;=3, Q45&lt;=3), ((K45-(T45+U45))/ ((R45 +1) - 3))*(Team!$H$27/10), 0)</f>
        <v>0</v>
      </c>
      <c r="W45" s="394">
        <f>IF(AND(R45&gt;=4, $A$1 &lt;=4, Q45&lt;=4), ((K45-(T45+U45+V45))/ ((R45 +1) - 4))*(Team!$H$28/10), 0)</f>
        <v>0</v>
      </c>
      <c r="X45" s="394">
        <f>IF(AND(R45&gt;=5, $A$1 &lt;5, Q45&lt;=5), ((K45-(T45+U45+V45+W45))/ ((R45 +1) - 5))*(Team!$H$29/10), 0)</f>
        <v>0</v>
      </c>
      <c r="Y45" s="394">
        <f>IF(AND(R45&gt;=6, $A$1 &lt;6, Q45&lt;=6), ((K45-(T45+U45+V45+W45+X45))/ ((R45 +1) - 6))*(Team!$H$30/10),  0)</f>
        <v>0</v>
      </c>
      <c r="Z45" s="67"/>
      <c r="AA45" s="67"/>
      <c r="AB45" s="196">
        <v>44702</v>
      </c>
      <c r="AC45" s="60"/>
      <c r="AD45" s="60"/>
    </row>
    <row r="46" spans="1:31" x14ac:dyDescent="0.25">
      <c r="A46" s="389"/>
      <c r="B46" s="389"/>
      <c r="C46" s="389" t="s">
        <v>700</v>
      </c>
      <c r="D46" s="430"/>
      <c r="E46" s="389"/>
      <c r="F46" s="431"/>
      <c r="G46" s="389">
        <v>9</v>
      </c>
      <c r="H46" s="389">
        <v>5</v>
      </c>
      <c r="I46" s="66">
        <f t="shared" si="15"/>
        <v>25</v>
      </c>
      <c r="J46" s="389">
        <v>5</v>
      </c>
      <c r="K46" s="66">
        <f t="shared" si="16"/>
        <v>25</v>
      </c>
      <c r="L46" s="216"/>
      <c r="M46" s="391" t="s">
        <v>89</v>
      </c>
      <c r="N46" s="391" t="s">
        <v>282</v>
      </c>
      <c r="O46" s="391" t="s">
        <v>360</v>
      </c>
      <c r="P46" s="391" t="s">
        <v>505</v>
      </c>
      <c r="Q46" s="393">
        <v>1</v>
      </c>
      <c r="R46" s="393">
        <v>4</v>
      </c>
      <c r="S46" s="393">
        <f t="shared" si="17"/>
        <v>4</v>
      </c>
      <c r="T46" s="394">
        <f>IF(AND(R46&gt;=1, $A$1 &lt;=1,Q46&lt;=1), (K46/ ((R46 +1) - 1))*(Team!$H$25/10), 0)</f>
        <v>6.25</v>
      </c>
      <c r="U46" s="394">
        <f ca="1">IF(AND(R46&gt;=2, $A$1 &lt;=2, Q46&lt;=2), ((K46-T46)/ ((R46 +1) - 2))*(Team!$H$26/10), 0)</f>
        <v>6.25</v>
      </c>
      <c r="V46" s="394">
        <f ca="1">IF(AND(R46&gt;=3, $A$1 &lt;=3, Q46&lt;=3), ((K46-(T46+U46))/ ((R46 +1) - 3))*(Team!$H$27/10), 0)</f>
        <v>6.25</v>
      </c>
      <c r="W46" s="394">
        <f ca="1">IF(AND(R46&gt;=4, $A$1 &lt;=4, Q46&lt;=4), ((K46-(T46+U46+V46))/ ((R46 +1) - 4))*(Team!$H$28/10), 0)</f>
        <v>6.25</v>
      </c>
      <c r="X46" s="394">
        <f>IF(AND(R46&gt;=5, $A$1 &lt;5, Q46&lt;=5), ((K46-(T46+U46+V46+W46))/ ((R46 +1) - 5))*(Team!$H$29/10), 0)</f>
        <v>0</v>
      </c>
      <c r="Y46" s="394">
        <f>IF(AND(R46&gt;=6, $A$1 &lt;6, Q46&lt;=6), ((K46-(T46+U46+V46+W46+X46))/ ((R46 +1) - 6))*(Team!$H$30/10),  0)</f>
        <v>0</v>
      </c>
      <c r="Z46" s="67"/>
      <c r="AA46" s="67"/>
      <c r="AB46" s="196">
        <v>44730</v>
      </c>
      <c r="AC46" s="60"/>
      <c r="AD46" s="60"/>
    </row>
    <row r="47" spans="1:31" x14ac:dyDescent="0.25">
      <c r="A47" s="389"/>
      <c r="B47" s="389"/>
      <c r="C47" s="389" t="s">
        <v>701</v>
      </c>
      <c r="D47" s="430"/>
      <c r="E47" s="389"/>
      <c r="F47" s="431"/>
      <c r="G47" s="389">
        <v>9</v>
      </c>
      <c r="H47" s="389">
        <v>6</v>
      </c>
      <c r="I47" s="66">
        <f t="shared" si="15"/>
        <v>30</v>
      </c>
      <c r="J47" s="389">
        <v>6</v>
      </c>
      <c r="K47" s="66">
        <f t="shared" si="16"/>
        <v>30</v>
      </c>
      <c r="L47" s="216"/>
      <c r="M47" s="391" t="s">
        <v>89</v>
      </c>
      <c r="N47" s="391" t="s">
        <v>282</v>
      </c>
      <c r="O47" s="391" t="s">
        <v>360</v>
      </c>
      <c r="P47" s="391" t="s">
        <v>505</v>
      </c>
      <c r="Q47" s="393">
        <v>3</v>
      </c>
      <c r="R47" s="393">
        <v>6</v>
      </c>
      <c r="S47" s="393">
        <f t="shared" si="17"/>
        <v>6</v>
      </c>
      <c r="T47" s="394">
        <f>IF(AND(R47&gt;=1, $A$1 &lt;=1,Q47&lt;=1), (K47/ ((R47 +1) - 1))*(Team!$H$25/10), 0)</f>
        <v>0</v>
      </c>
      <c r="U47" s="394">
        <f>IF(AND(R47&gt;=2, $A$1 &lt;=2, Q47&lt;=2), ((K47-T47)/ ((R47 +1) - 2))*(Team!$H$26/10), 0)</f>
        <v>0</v>
      </c>
      <c r="V47" s="394">
        <f ca="1">IF(AND(R47&gt;=3, $A$1 &lt;=3, Q47&lt;=3), ((K47-(T47+U47))/ ((R47 +1) - 3))*(Team!$H$27/10), 0)</f>
        <v>7.5</v>
      </c>
      <c r="W47" s="394">
        <f ca="1">IF(AND(R47&gt;=4, $A$1 &lt;=4, Q47&lt;=4), ((K47-(T47+U47+V47))/ ((R47 +1) - 4))*(Team!$H$28/10), 0)</f>
        <v>7.5</v>
      </c>
      <c r="X47" s="394">
        <f ca="1">IF(AND(R47&gt;=5, $A$1 &lt;5, Q47&lt;=5), ((K47-(T47+U47+V47+W47))/ ((R47 +1) - 5))*(Team!$H$29/10), 0)</f>
        <v>7.5</v>
      </c>
      <c r="Y47" s="394">
        <f ca="1">IF(AND(R47&gt;=6, $A$1 &lt;6, Q47&lt;=6), ((K47-(T47+U47+V47+W47+X47))/ ((R47 +1) - 6))*(Team!$H$30/10),  0)</f>
        <v>7.5</v>
      </c>
      <c r="Z47" s="67"/>
      <c r="AA47" s="67"/>
      <c r="AB47" s="196">
        <v>44758</v>
      </c>
      <c r="AC47" s="60"/>
      <c r="AD47" s="60"/>
    </row>
    <row r="48" spans="1:31" x14ac:dyDescent="0.25">
      <c r="A48" s="389"/>
      <c r="B48" s="389"/>
      <c r="C48" s="389" t="s">
        <v>702</v>
      </c>
      <c r="D48" s="430"/>
      <c r="E48" s="389"/>
      <c r="F48" s="431"/>
      <c r="G48" s="389">
        <v>9</v>
      </c>
      <c r="H48" s="389">
        <v>3</v>
      </c>
      <c r="I48" s="66">
        <f t="shared" si="15"/>
        <v>15</v>
      </c>
      <c r="J48" s="389">
        <v>3</v>
      </c>
      <c r="K48" s="66">
        <f t="shared" si="16"/>
        <v>15</v>
      </c>
      <c r="L48" s="216"/>
      <c r="M48" s="391" t="s">
        <v>89</v>
      </c>
      <c r="N48" s="391" t="s">
        <v>282</v>
      </c>
      <c r="O48" s="391" t="s">
        <v>360</v>
      </c>
      <c r="P48" s="391" t="s">
        <v>505</v>
      </c>
      <c r="Q48" s="393">
        <v>5</v>
      </c>
      <c r="R48" s="393">
        <v>5</v>
      </c>
      <c r="S48" s="393">
        <f t="shared" si="17"/>
        <v>5</v>
      </c>
      <c r="T48" s="394">
        <f>IF(AND(R48&gt;=1, $A$1 &lt;=1,Q48&lt;=1), (K48/ ((R48 +1) - 1))*(Team!$H$25/10), 0)</f>
        <v>0</v>
      </c>
      <c r="U48" s="394">
        <f>IF(AND(R48&gt;=2, $A$1 &lt;=2, Q48&lt;=2), ((K48-T48)/ ((R48 +1) - 2))*(Team!$H$26/10), 0)</f>
        <v>0</v>
      </c>
      <c r="V48" s="394">
        <f>IF(AND(R48&gt;=3, $A$1 &lt;=3, Q48&lt;=3), ((K48-(T48+U48))/ ((R48 +1) - 3))*(Team!$H$27/10), 0)</f>
        <v>0</v>
      </c>
      <c r="W48" s="394">
        <f>IF(AND(R48&gt;=4, $A$1 &lt;=4, Q48&lt;=4), ((K48-(T48+U48+V48))/ ((R48 +1) - 4))*(Team!$H$28/10), 0)</f>
        <v>0</v>
      </c>
      <c r="X48" s="394">
        <f ca="1">IF(AND(R48&gt;=5, $A$1 &lt;5, Q48&lt;=5), ((K48-(T48+U48+V48+W48))/ ((R48 +1) - 5))*(Team!$H$29/10), 0)</f>
        <v>15</v>
      </c>
      <c r="Y48" s="394">
        <f>IF(AND(R48&gt;=6, $A$1 &lt;6, Q48&lt;=6), ((K48-(T48+U48+V48+W48+X48))/ ((R48 +1) - 6))*(Team!$H$30/10),  0)</f>
        <v>0</v>
      </c>
      <c r="Z48" s="67"/>
      <c r="AA48" s="67"/>
      <c r="AB48" s="196">
        <v>44793</v>
      </c>
      <c r="AC48" s="60"/>
      <c r="AD48" s="60"/>
    </row>
    <row r="49" spans="1:30" x14ac:dyDescent="0.25">
      <c r="A49" s="389"/>
      <c r="B49" s="389"/>
      <c r="C49" s="389" t="s">
        <v>703</v>
      </c>
      <c r="D49" s="430"/>
      <c r="E49" s="389"/>
      <c r="F49" s="431"/>
      <c r="G49" s="389">
        <v>9</v>
      </c>
      <c r="H49" s="389">
        <v>1.6</v>
      </c>
      <c r="I49" s="66">
        <f t="shared" si="15"/>
        <v>8</v>
      </c>
      <c r="J49" s="389">
        <v>1.6</v>
      </c>
      <c r="K49" s="66">
        <f t="shared" si="16"/>
        <v>8</v>
      </c>
      <c r="L49" s="216"/>
      <c r="M49" s="391" t="s">
        <v>89</v>
      </c>
      <c r="N49" s="391" t="s">
        <v>282</v>
      </c>
      <c r="O49" s="391" t="s">
        <v>360</v>
      </c>
      <c r="P49" s="391" t="s">
        <v>505</v>
      </c>
      <c r="Q49" s="393">
        <v>1</v>
      </c>
      <c r="R49" s="393">
        <v>2</v>
      </c>
      <c r="S49" s="393">
        <f t="shared" si="17"/>
        <v>2</v>
      </c>
      <c r="T49" s="394">
        <f>IF(AND(R49&gt;=1, $A$1 &lt;=1,Q49&lt;=1), (K49/ ((R49 +1) - 1))*(Team!$H$25/10), 0)</f>
        <v>4</v>
      </c>
      <c r="U49" s="394">
        <f ca="1">IF(AND(R49&gt;=2, $A$1 &lt;=2, Q49&lt;=2), ((K49-T49)/ ((R49 +1) - 2))*(Team!$H$26/10), 0)</f>
        <v>4</v>
      </c>
      <c r="V49" s="394">
        <f>IF(AND(R49&gt;=3, $A$1 &lt;=3, Q49&lt;=3), ((K49-(T49+U49))/ ((R49 +1) - 3))*(Team!$H$27/10), 0)</f>
        <v>0</v>
      </c>
      <c r="W49" s="394">
        <f>IF(AND(R49&gt;=4, $A$1 &lt;=4, Q49&lt;=4), ((K49-(T49+U49+V49))/ ((R49 +1) - 4))*(Team!$H$28/10), 0)</f>
        <v>0</v>
      </c>
      <c r="X49" s="394">
        <f>IF(AND(R49&gt;=5, $A$1 &lt;5, Q49&lt;=5), ((K49-(T49+U49+V49+W49))/ ((R49 +1) - 5))*(Team!$H$29/10), 0)</f>
        <v>0</v>
      </c>
      <c r="Y49" s="394">
        <f>IF(AND(R49&gt;=6, $A$1 &lt;6, Q49&lt;=6), ((K49-(T49+U49+V49+W49+X49))/ ((R49 +1) - 6))*(Team!$H$30/10),  0)</f>
        <v>0</v>
      </c>
      <c r="Z49" s="67"/>
      <c r="AA49" s="67"/>
      <c r="AB49" s="196">
        <v>44702</v>
      </c>
      <c r="AC49" s="60"/>
      <c r="AD49" s="60"/>
    </row>
    <row r="50" spans="1:30" x14ac:dyDescent="0.25">
      <c r="A50" s="389"/>
      <c r="B50" s="389"/>
      <c r="C50" s="389" t="s">
        <v>704</v>
      </c>
      <c r="D50" s="430"/>
      <c r="E50" s="389"/>
      <c r="F50" s="431"/>
      <c r="G50" s="389">
        <v>9</v>
      </c>
      <c r="H50" s="389">
        <v>1.6</v>
      </c>
      <c r="I50" s="66">
        <f t="shared" si="15"/>
        <v>8</v>
      </c>
      <c r="J50" s="389">
        <v>1.6</v>
      </c>
      <c r="K50" s="66">
        <f t="shared" si="16"/>
        <v>8</v>
      </c>
      <c r="L50" s="216"/>
      <c r="M50" s="391" t="s">
        <v>89</v>
      </c>
      <c r="N50" s="391" t="s">
        <v>282</v>
      </c>
      <c r="O50" s="391" t="s">
        <v>360</v>
      </c>
      <c r="P50" s="391" t="s">
        <v>505</v>
      </c>
      <c r="Q50" s="393">
        <v>1</v>
      </c>
      <c r="R50" s="393">
        <v>4</v>
      </c>
      <c r="S50" s="393">
        <f t="shared" si="17"/>
        <v>4</v>
      </c>
      <c r="T50" s="394">
        <f>IF(AND(R50&gt;=1, $A$1 &lt;=1,Q50&lt;=1), (K50/ ((R50 +1) - 1))*(Team!$H$25/10), 0)</f>
        <v>2</v>
      </c>
      <c r="U50" s="394">
        <f ca="1">IF(AND(R50&gt;=2, $A$1 &lt;=2, Q50&lt;=2), ((K50-T50)/ ((R50 +1) - 2))*(Team!$H$26/10), 0)</f>
        <v>2</v>
      </c>
      <c r="V50" s="394">
        <f ca="1">IF(AND(R50&gt;=3, $A$1 &lt;=3, Q50&lt;=3), ((K50-(T50+U50))/ ((R50 +1) - 3))*(Team!$H$27/10), 0)</f>
        <v>2</v>
      </c>
      <c r="W50" s="394">
        <f ca="1">IF(AND(R50&gt;=4, $A$1 &lt;=4, Q50&lt;=4), ((K50-(T50+U50+V50))/ ((R50 +1) - 4))*(Team!$H$28/10), 0)</f>
        <v>2</v>
      </c>
      <c r="X50" s="394">
        <f>IF(AND(R50&gt;=5, $A$1 &lt;5, Q50&lt;=5), ((K50-(T50+U50+V50+W50))/ ((R50 +1) - 5))*(Team!$H$29/10), 0)</f>
        <v>0</v>
      </c>
      <c r="Y50" s="394">
        <f>IF(AND(R50&gt;=6, $A$1 &lt;6, Q50&lt;=6), ((K50-(T50+U50+V50+W50+X50))/ ((R50 +1) - 6))*(Team!$H$30/10),  0)</f>
        <v>0</v>
      </c>
      <c r="Z50" s="67"/>
      <c r="AA50" s="67"/>
      <c r="AB50" s="196">
        <v>44730</v>
      </c>
      <c r="AC50" s="60"/>
      <c r="AD50" s="60"/>
    </row>
    <row r="51" spans="1:30" x14ac:dyDescent="0.25">
      <c r="A51" s="389"/>
      <c r="B51" s="432"/>
      <c r="C51" s="389" t="s">
        <v>705</v>
      </c>
      <c r="D51" s="433"/>
      <c r="E51" s="433"/>
      <c r="F51" s="434"/>
      <c r="G51" s="433">
        <v>5</v>
      </c>
      <c r="H51" s="389">
        <v>1.6</v>
      </c>
      <c r="I51" s="66">
        <f t="shared" si="15"/>
        <v>8</v>
      </c>
      <c r="J51" s="389">
        <v>1.6</v>
      </c>
      <c r="K51" s="206">
        <f t="shared" si="16"/>
        <v>8</v>
      </c>
      <c r="L51" s="216"/>
      <c r="M51" s="391" t="s">
        <v>89</v>
      </c>
      <c r="N51" s="391" t="s">
        <v>282</v>
      </c>
      <c r="O51" s="391" t="s">
        <v>360</v>
      </c>
      <c r="P51" s="391" t="s">
        <v>505</v>
      </c>
      <c r="Q51" s="393">
        <v>3</v>
      </c>
      <c r="R51" s="393">
        <v>6</v>
      </c>
      <c r="S51" s="393">
        <f t="shared" si="17"/>
        <v>6</v>
      </c>
      <c r="T51" s="394">
        <f>IF(AND(R51&gt;=1, $A$1 &lt;=1,Q51&lt;=1), (K51/ ((R51 +1) - 1))*(Team!$H$25/10), 0)</f>
        <v>0</v>
      </c>
      <c r="U51" s="394">
        <f>IF(AND(R51&gt;=2, $A$1 &lt;=2, Q51&lt;=2), ((K51-T51)/ ((R51 +1) - 2))*(Team!$H$26/10), 0)</f>
        <v>0</v>
      </c>
      <c r="V51" s="394">
        <f ca="1">IF(AND(R51&gt;=3, $A$1 &lt;=3, Q51&lt;=3), ((K51-(T51+U51))/ ((R51 +1) - 3))*(Team!$H$27/10), 0)</f>
        <v>2</v>
      </c>
      <c r="W51" s="394">
        <f ca="1">IF(AND(R51&gt;=4, $A$1 &lt;=4, Q51&lt;=4), ((K51-(T51+U51+V51))/ ((R51 +1) - 4))*(Team!$H$28/10), 0)</f>
        <v>2</v>
      </c>
      <c r="X51" s="394">
        <f ca="1">IF(AND(R51&gt;=5, $A$1 &lt;5, Q51&lt;=5), ((K51-(T51+U51+V51+W51))/ ((R51 +1) - 5))*(Team!$H$29/10), 0)</f>
        <v>2</v>
      </c>
      <c r="Y51" s="394">
        <f ca="1">IF(AND(R51&gt;=6, $A$1 &lt;6, Q51&lt;=6), ((K51-(T51+U51+V51+W51+X51))/ ((R51 +1) - 6))*(Team!$H$30/10),  0)</f>
        <v>2</v>
      </c>
      <c r="Z51" s="67"/>
      <c r="AA51" s="67"/>
      <c r="AB51" s="196">
        <v>44758</v>
      </c>
      <c r="AC51" s="60"/>
      <c r="AD51" s="60"/>
    </row>
    <row r="52" spans="1:30" x14ac:dyDescent="0.25">
      <c r="A52" s="389"/>
      <c r="B52" s="432"/>
      <c r="C52" s="389" t="s">
        <v>706</v>
      </c>
      <c r="D52" s="430"/>
      <c r="E52" s="389"/>
      <c r="F52" s="431"/>
      <c r="G52" s="389">
        <v>6</v>
      </c>
      <c r="H52" s="389">
        <v>1.6</v>
      </c>
      <c r="I52" s="66">
        <f t="shared" si="15"/>
        <v>8</v>
      </c>
      <c r="J52" s="389">
        <v>1.6</v>
      </c>
      <c r="K52" s="66">
        <f t="shared" si="16"/>
        <v>8</v>
      </c>
      <c r="L52" s="216"/>
      <c r="M52" s="391" t="s">
        <v>89</v>
      </c>
      <c r="N52" s="391" t="s">
        <v>282</v>
      </c>
      <c r="O52" s="391" t="s">
        <v>360</v>
      </c>
      <c r="P52" s="391" t="s">
        <v>505</v>
      </c>
      <c r="Q52" s="393">
        <v>5</v>
      </c>
      <c r="R52" s="393">
        <v>5</v>
      </c>
      <c r="S52" s="393">
        <f t="shared" si="17"/>
        <v>5</v>
      </c>
      <c r="T52" s="394">
        <f>IF(AND(R52&gt;=1, $A$1 &lt;=1,Q52&lt;=1), (K52/ ((R52 +1) - 1))*(Team!$H$25/10), 0)</f>
        <v>0</v>
      </c>
      <c r="U52" s="394">
        <f>IF(AND(R52&gt;=2, $A$1 &lt;=2, Q52&lt;=2), ((K52-T52)/ ((R52 +1) - 2))*(Team!$H$26/10), 0)</f>
        <v>0</v>
      </c>
      <c r="V52" s="394">
        <f>IF(AND(R52&gt;=3, $A$1 &lt;=3, Q52&lt;=3), ((K52-(T52+U52))/ ((R52 +1) - 3))*(Team!$H$27/10), 0)</f>
        <v>0</v>
      </c>
      <c r="W52" s="394">
        <f>IF(AND(R52&gt;=4, $A$1 &lt;=4, Q52&lt;=4), ((K52-(T52+U52+V52))/ ((R52 +1) - 4))*(Team!$H$28/10), 0)</f>
        <v>0</v>
      </c>
      <c r="X52" s="394">
        <f ca="1">IF(AND(R52&gt;=5, $A$1 &lt;5, Q52&lt;=5), ((K52-(T52+U52+V52+W52))/ ((R52 +1) - 5))*(Team!$H$29/10), 0)</f>
        <v>8</v>
      </c>
      <c r="Y52" s="394">
        <f>IF(AND(R52&gt;=6, $A$1 &lt;6, Q52&lt;=6), ((K52-(T52+U52+V52+W52+X52))/ ((R52 +1) - 6))*(Team!$H$30/10),  0)</f>
        <v>0</v>
      </c>
      <c r="Z52" s="67"/>
      <c r="AA52" s="67"/>
      <c r="AB52" s="196">
        <v>44793</v>
      </c>
      <c r="AC52" s="60"/>
      <c r="AD52" s="60"/>
    </row>
    <row r="53" spans="1:30" x14ac:dyDescent="0.25">
      <c r="A53" s="389"/>
      <c r="B53" s="432"/>
      <c r="C53" s="389" t="s">
        <v>732</v>
      </c>
      <c r="D53" s="430"/>
      <c r="E53" s="389"/>
      <c r="F53" s="431"/>
      <c r="G53" s="389">
        <v>7</v>
      </c>
      <c r="H53" s="389">
        <v>1.6</v>
      </c>
      <c r="I53" s="66">
        <f t="shared" si="15"/>
        <v>8</v>
      </c>
      <c r="J53" s="389">
        <v>1.6</v>
      </c>
      <c r="K53" s="66">
        <f t="shared" si="16"/>
        <v>8</v>
      </c>
      <c r="L53" s="216"/>
      <c r="M53" s="391" t="s">
        <v>89</v>
      </c>
      <c r="N53" s="391" t="s">
        <v>282</v>
      </c>
      <c r="O53" s="391" t="s">
        <v>769</v>
      </c>
      <c r="P53" s="391" t="s">
        <v>505</v>
      </c>
      <c r="Q53" s="393">
        <v>1</v>
      </c>
      <c r="R53" s="393">
        <v>4</v>
      </c>
      <c r="S53" s="393">
        <f t="shared" si="17"/>
        <v>4</v>
      </c>
      <c r="T53" s="394">
        <f>IF(AND(R53&gt;=1, $A$1 &lt;=1,Q53&lt;=1), (K53/ ((R53 +1) - 1))*(Team!$H$25/10), 0)</f>
        <v>2</v>
      </c>
      <c r="U53" s="394">
        <f ca="1">IF(AND(R53&gt;=2, $A$1 &lt;=2, Q53&lt;=2), ((K53-T53)/ ((R53 +1) - 2))*(Team!$H$26/10), 0)</f>
        <v>2</v>
      </c>
      <c r="V53" s="394">
        <f ca="1">IF(AND(R53&gt;=3, $A$1 &lt;=3, Q53&lt;=3), ((K53-(T53+U53))/ ((R53 +1) - 3))*(Team!$H$27/10), 0)</f>
        <v>2</v>
      </c>
      <c r="W53" s="394">
        <f ca="1">IF(AND(R53&gt;=4, $A$1 &lt;=4, Q53&lt;=4), ((K53-(T53+U53+V53))/ ((R53 +1) - 4))*(Team!$H$28/10), 0)</f>
        <v>2</v>
      </c>
      <c r="X53" s="394">
        <f>IF(AND(R53&gt;=5, $A$1 &lt;5, Q53&lt;=5), ((K53-(T53+U53+V53+W53))/ ((R53 +1) - 5))*(Team!$H$29/10), 0)</f>
        <v>0</v>
      </c>
      <c r="Y53" s="394">
        <f>IF(AND(R53&gt;=6, $A$1 &lt;6, Q53&lt;=6), ((K53-(T53+U53+V53+W53+X53))/ ((R53 +1) - 6))*(Team!$H$30/10),  0)</f>
        <v>0</v>
      </c>
      <c r="Z53" s="67"/>
      <c r="AA53" s="67"/>
      <c r="AB53" s="196"/>
      <c r="AC53" s="60"/>
      <c r="AD53" s="60"/>
    </row>
    <row r="54" spans="1:30" x14ac:dyDescent="0.25">
      <c r="A54" s="389"/>
      <c r="B54" s="432"/>
      <c r="C54" s="389" t="s">
        <v>723</v>
      </c>
      <c r="D54" s="430"/>
      <c r="E54" s="389"/>
      <c r="F54" s="431"/>
      <c r="G54" s="389">
        <v>9</v>
      </c>
      <c r="H54" s="389">
        <v>6</v>
      </c>
      <c r="I54" s="66">
        <f t="shared" si="15"/>
        <v>30</v>
      </c>
      <c r="J54" s="389">
        <v>6</v>
      </c>
      <c r="K54" s="66">
        <f t="shared" si="16"/>
        <v>30</v>
      </c>
      <c r="L54" s="216"/>
      <c r="M54" s="391" t="s">
        <v>89</v>
      </c>
      <c r="N54" s="391" t="s">
        <v>282</v>
      </c>
      <c r="O54" s="391" t="s">
        <v>507</v>
      </c>
      <c r="P54" s="391" t="s">
        <v>505</v>
      </c>
      <c r="Q54" s="393">
        <v>1</v>
      </c>
      <c r="R54" s="393">
        <v>6</v>
      </c>
      <c r="S54" s="393">
        <f t="shared" si="17"/>
        <v>6</v>
      </c>
      <c r="T54" s="394">
        <f>IF(AND(R54&gt;=1, $A$1 &lt;=1,Q54&lt;=1), (K54/ ((R54 +1) - 1))*(Team!$H$25/10), 0)</f>
        <v>5</v>
      </c>
      <c r="U54" s="394">
        <f ca="1">IF(AND(R54&gt;=2, $A$1 &lt;=2, Q54&lt;=2), ((K54-T54)/ ((R54 +1) - 2))*(Team!$H$26/10), 0)</f>
        <v>5</v>
      </c>
      <c r="V54" s="394">
        <f ca="1">IF(AND(R54&gt;=3, $A$1 &lt;=3, Q54&lt;=3), ((K54-(T54+U54))/ ((R54 +1) - 3))*(Team!$H$27/10), 0)</f>
        <v>5</v>
      </c>
      <c r="W54" s="394">
        <f ca="1">IF(AND(R54&gt;=4, $A$1 &lt;=4, Q54&lt;=4), ((K54-(T54+U54+V54))/ ((R54 +1) - 4))*(Team!$H$28/10), 0)</f>
        <v>5</v>
      </c>
      <c r="X54" s="394">
        <f ca="1">IF(AND(R54&gt;=5, $A$1 &lt;5, Q54&lt;=5), ((K54-(T54+U54+V54+W54))/ ((R54 +1) - 5))*(Team!$H$29/10), 0)</f>
        <v>5</v>
      </c>
      <c r="Y54" s="394">
        <f ca="1">IF(AND(R54&gt;=6, $A$1 &lt;6, Q54&lt;=6), ((K54-(T54+U54+V54+W54+X54))/ ((R54 +1) - 6))*(Team!$H$30/10),  0)</f>
        <v>5</v>
      </c>
      <c r="Z54" s="67"/>
      <c r="AA54" s="67"/>
      <c r="AB54" s="196"/>
      <c r="AC54" s="60"/>
      <c r="AD54" s="60"/>
    </row>
    <row r="55" spans="1:30" x14ac:dyDescent="0.25">
      <c r="A55" s="389"/>
      <c r="B55" s="432"/>
      <c r="C55" s="389" t="s">
        <v>766</v>
      </c>
      <c r="D55" s="430"/>
      <c r="E55" s="389"/>
      <c r="F55" s="431"/>
      <c r="G55" s="389">
        <v>9</v>
      </c>
      <c r="H55" s="389">
        <v>9</v>
      </c>
      <c r="I55" s="66">
        <f t="shared" si="15"/>
        <v>45</v>
      </c>
      <c r="J55" s="389">
        <v>9</v>
      </c>
      <c r="K55" s="66">
        <f t="shared" si="16"/>
        <v>45</v>
      </c>
      <c r="L55" s="216"/>
      <c r="M55" s="391" t="s">
        <v>89</v>
      </c>
      <c r="N55" s="391" t="s">
        <v>282</v>
      </c>
      <c r="O55" s="391" t="s">
        <v>768</v>
      </c>
      <c r="P55" s="391" t="s">
        <v>505</v>
      </c>
      <c r="Q55" s="393">
        <v>1</v>
      </c>
      <c r="R55" s="393">
        <v>3</v>
      </c>
      <c r="S55" s="393">
        <f t="shared" si="17"/>
        <v>3</v>
      </c>
      <c r="T55" s="394">
        <f>IF(AND(R55&gt;=1, $A$1 &lt;=1,Q55&lt;=1), (K55/ ((R55 +1) - 1))*(Team!$H$25/10), 0)</f>
        <v>15</v>
      </c>
      <c r="U55" s="394">
        <f ca="1">IF(AND(R55&gt;=2, $A$1 &lt;=2, Q55&lt;=2), ((K55-T55)/ ((R55 +1) - 2))*(Team!$H$26/10), 0)</f>
        <v>15</v>
      </c>
      <c r="V55" s="394">
        <f ca="1">IF(AND(R55&gt;=3, $A$1 &lt;=3, Q55&lt;=3), ((K55-(T55+U55))/ ((R55 +1) - 3))*(Team!$H$27/10), 0)</f>
        <v>15</v>
      </c>
      <c r="W55" s="394">
        <f>IF(AND(R55&gt;=4, $A$1 &lt;=4, Q55&lt;=4), ((K55-(T55+U55+V55))/ ((R55 +1) - 4))*(Team!$H$28/10), 0)</f>
        <v>0</v>
      </c>
      <c r="X55" s="394">
        <f>IF(AND(R55&gt;=5, $A$1 &lt;5, Q55&lt;=5), ((K55-(T55+U55+V55+W55))/ ((R55 +1) - 5))*(Team!$H$29/10), 0)</f>
        <v>0</v>
      </c>
      <c r="Y55" s="394">
        <f>IF(AND(R55&gt;=6, $A$1 &lt;6, Q55&lt;=6), ((K55-(T55+U55+V55+W55+X55))/ ((R55 +1) - 6))*(Team!$H$30/10),  0)</f>
        <v>0</v>
      </c>
      <c r="Z55" s="67"/>
      <c r="AA55" s="67"/>
      <c r="AB55" s="196"/>
      <c r="AC55" s="60"/>
      <c r="AD55" s="60"/>
    </row>
    <row r="56" spans="1:30" x14ac:dyDescent="0.25">
      <c r="A56" s="389"/>
      <c r="B56" s="432"/>
      <c r="C56" s="389" t="s">
        <v>767</v>
      </c>
      <c r="D56" s="430"/>
      <c r="E56" s="389"/>
      <c r="F56" s="431"/>
      <c r="G56" s="389">
        <v>9</v>
      </c>
      <c r="H56" s="389">
        <v>8</v>
      </c>
      <c r="I56" s="66">
        <f t="shared" si="15"/>
        <v>40</v>
      </c>
      <c r="J56" s="389">
        <v>8</v>
      </c>
      <c r="K56" s="66">
        <f t="shared" si="16"/>
        <v>40</v>
      </c>
      <c r="L56" s="216"/>
      <c r="M56" s="391" t="s">
        <v>89</v>
      </c>
      <c r="N56" s="391" t="s">
        <v>282</v>
      </c>
      <c r="O56" s="391" t="s">
        <v>768</v>
      </c>
      <c r="P56" s="391" t="s">
        <v>505</v>
      </c>
      <c r="Q56" s="393">
        <v>3</v>
      </c>
      <c r="R56" s="393">
        <v>4</v>
      </c>
      <c r="S56" s="393">
        <f t="shared" ref="S56" si="18">(R56+1) - 1</f>
        <v>4</v>
      </c>
      <c r="T56" s="394">
        <f>IF(AND(R56&gt;=1, $A$1 &lt;=1,Q56&lt;=1), (K56/ ((R56 +1) - 1))*(Team!$H$25/10), 0)</f>
        <v>0</v>
      </c>
      <c r="U56" s="394">
        <f>IF(AND(R56&gt;=2, $A$1 &lt;=2, Q56&lt;=2), ((K56-T56)/ ((R56 +1) - 2))*(Team!$H$26/10), 0)</f>
        <v>0</v>
      </c>
      <c r="V56" s="394">
        <f ca="1">IF(AND(R56&gt;=3, $A$1 &lt;=3, Q56&lt;=3), ((K56-(T56+U56))/ ((R56 +1) - 3))*(Team!$H$27/10), 0)</f>
        <v>20</v>
      </c>
      <c r="W56" s="394">
        <f ca="1">IF(AND(R56&gt;=4, $A$1 &lt;=4, Q56&lt;=4), ((K56-(T56+U56+V56))/ ((R56 +1) - 4))*(Team!$H$28/10), 0)</f>
        <v>20</v>
      </c>
      <c r="X56" s="394">
        <f>IF(AND(R56&gt;=5, $A$1 &lt;5, Q56&lt;=5), ((K56-(T56+U56+V56+W56))/ ((R56 +1) - 5))*(Team!$H$29/10), 0)</f>
        <v>0</v>
      </c>
      <c r="Y56" s="394">
        <f>IF(AND(R56&gt;=6, $A$1 &lt;6, Q56&lt;=6), ((K56-(T56+U56+V56+W56+X56))/ ((R56 +1) - 6))*(Team!$H$30/10),  0)</f>
        <v>0</v>
      </c>
      <c r="Z56" s="67"/>
      <c r="AA56" s="67"/>
      <c r="AB56" s="196"/>
      <c r="AC56" s="60"/>
      <c r="AD56" s="60"/>
    </row>
    <row r="57" spans="1:30" x14ac:dyDescent="0.25">
      <c r="A57" s="389"/>
      <c r="B57" s="432"/>
      <c r="C57" s="389" t="s">
        <v>744</v>
      </c>
      <c r="D57" s="430"/>
      <c r="E57" s="389"/>
      <c r="F57" s="431"/>
      <c r="G57" s="389">
        <v>9</v>
      </c>
      <c r="H57" s="389">
        <v>1</v>
      </c>
      <c r="I57" s="66">
        <f t="shared" si="15"/>
        <v>5</v>
      </c>
      <c r="J57" s="389">
        <v>1</v>
      </c>
      <c r="K57" s="66">
        <f t="shared" si="16"/>
        <v>5</v>
      </c>
      <c r="L57" s="216"/>
      <c r="M57" s="391" t="s">
        <v>89</v>
      </c>
      <c r="N57" s="391" t="s">
        <v>282</v>
      </c>
      <c r="O57" s="391" t="s">
        <v>768</v>
      </c>
      <c r="P57" s="391" t="s">
        <v>505</v>
      </c>
      <c r="Q57" s="393">
        <v>1</v>
      </c>
      <c r="R57" s="393">
        <v>5</v>
      </c>
      <c r="S57" s="393">
        <f t="shared" si="17"/>
        <v>5</v>
      </c>
      <c r="T57" s="394">
        <f>IF(AND(R57&gt;=1, $A$1 &lt;=1,Q57&lt;=1), (K57/ ((R57 +1) - 1))*(Team!$H$25/10), 0)</f>
        <v>1</v>
      </c>
      <c r="U57" s="394">
        <f ca="1">IF(AND(R57&gt;=2, $A$1 &lt;=2, Q57&lt;=2), ((K57-T57)/ ((R57 +1) - 2))*(Team!$H$26/10), 0)</f>
        <v>1</v>
      </c>
      <c r="V57" s="394">
        <f ca="1">IF(AND(R57&gt;=3, $A$1 &lt;=3, Q57&lt;=3), ((K57-(T57+U57))/ ((R57 +1) - 3))*(Team!$H$27/10), 0)</f>
        <v>1</v>
      </c>
      <c r="W57" s="394">
        <f ca="1">IF(AND(R57&gt;=4, $A$1 &lt;=4, Q57&lt;=4), ((K57-(T57+U57+V57))/ ((R57 +1) - 4))*(Team!$H$28/10), 0)</f>
        <v>1</v>
      </c>
      <c r="X57" s="394">
        <f ca="1">IF(AND(R57&gt;=5, $A$1 &lt;5, Q57&lt;=5), ((K57-(T57+U57+V57+W57))/ ((R57 +1) - 5))*(Team!$H$29/10), 0)</f>
        <v>1</v>
      </c>
      <c r="Y57" s="394">
        <f>IF(AND(R57&gt;=6, $A$1 &lt;6, Q57&lt;=6), ((K57-(T57+U57+V57+W57+X57))/ ((R57 +1) - 6))*(Team!$H$30/10),  0)</f>
        <v>0</v>
      </c>
      <c r="Z57" s="67"/>
      <c r="AA57" s="67"/>
      <c r="AB57" s="196"/>
      <c r="AC57" s="60"/>
      <c r="AD57" s="60"/>
    </row>
    <row r="58" spans="1:30" x14ac:dyDescent="0.25">
      <c r="A58" s="389"/>
      <c r="B58" s="432"/>
      <c r="C58" s="389" t="s">
        <v>746</v>
      </c>
      <c r="D58" s="430"/>
      <c r="E58" s="389"/>
      <c r="F58" s="431"/>
      <c r="G58" s="389">
        <v>9</v>
      </c>
      <c r="H58" s="389">
        <v>3</v>
      </c>
      <c r="I58" s="66">
        <f t="shared" si="15"/>
        <v>15</v>
      </c>
      <c r="J58" s="389">
        <v>3</v>
      </c>
      <c r="K58" s="66">
        <f t="shared" si="16"/>
        <v>15</v>
      </c>
      <c r="L58" s="216"/>
      <c r="M58" s="391" t="s">
        <v>89</v>
      </c>
      <c r="N58" s="391" t="s">
        <v>282</v>
      </c>
      <c r="O58" s="391" t="s">
        <v>768</v>
      </c>
      <c r="P58" s="391" t="s">
        <v>505</v>
      </c>
      <c r="Q58" s="393">
        <v>1</v>
      </c>
      <c r="R58" s="393">
        <v>6</v>
      </c>
      <c r="S58" s="393">
        <f t="shared" si="17"/>
        <v>6</v>
      </c>
      <c r="T58" s="394">
        <f>IF(AND(R58&gt;=1, $A$1 &lt;=1,Q58&lt;=1), (K58/ ((R58 +1) - 1))*(Team!$H$25/10), 0)</f>
        <v>2.5</v>
      </c>
      <c r="U58" s="394">
        <f ca="1">IF(AND(R58&gt;=2, $A$1 &lt;=2, Q58&lt;=2), ((K58-T58)/ ((R58 +1) - 2))*(Team!$H$26/10), 0)</f>
        <v>2.5</v>
      </c>
      <c r="V58" s="394">
        <f ca="1">IF(AND(R58&gt;=3, $A$1 &lt;=3, Q58&lt;=3), ((K58-(T58+U58))/ ((R58 +1) - 3))*(Team!$H$27/10), 0)</f>
        <v>2.5</v>
      </c>
      <c r="W58" s="394">
        <f ca="1">IF(AND(R58&gt;=4, $A$1 &lt;=4, Q58&lt;=4), ((K58-(T58+U58+V58))/ ((R58 +1) - 4))*(Team!$H$28/10), 0)</f>
        <v>2.5</v>
      </c>
      <c r="X58" s="394">
        <f ca="1">IF(AND(R58&gt;=5, $A$1 &lt;5, Q58&lt;=5), ((K58-(T58+U58+V58+W58))/ ((R58 +1) - 5))*(Team!$H$29/10), 0)</f>
        <v>2.5</v>
      </c>
      <c r="Y58" s="394">
        <f ca="1">IF(AND(R58&gt;=6, $A$1 &lt;6, Q58&lt;=6), ((K58-(T58+U58+V58+W58+X58))/ ((R58 +1) - 6))*(Team!$H$30/10),  0)</f>
        <v>2.5</v>
      </c>
      <c r="Z58" s="67"/>
      <c r="AA58" s="67"/>
      <c r="AB58" s="196"/>
      <c r="AC58" s="60"/>
      <c r="AD58" s="60"/>
    </row>
    <row r="59" spans="1:30" x14ac:dyDescent="0.25">
      <c r="A59" s="389"/>
      <c r="B59" s="432"/>
      <c r="C59" s="389" t="s">
        <v>749</v>
      </c>
      <c r="D59" s="430"/>
      <c r="E59" s="389"/>
      <c r="F59" s="431"/>
      <c r="G59" s="389">
        <v>8</v>
      </c>
      <c r="H59" s="389">
        <v>1</v>
      </c>
      <c r="I59" s="66">
        <f t="shared" si="15"/>
        <v>5</v>
      </c>
      <c r="J59" s="389">
        <v>1</v>
      </c>
      <c r="K59" s="66">
        <f t="shared" si="16"/>
        <v>5</v>
      </c>
      <c r="L59" s="216"/>
      <c r="M59" s="391" t="s">
        <v>89</v>
      </c>
      <c r="N59" s="391" t="s">
        <v>282</v>
      </c>
      <c r="O59" s="391" t="s">
        <v>768</v>
      </c>
      <c r="P59" s="391" t="s">
        <v>505</v>
      </c>
      <c r="Q59" s="393">
        <v>0</v>
      </c>
      <c r="R59" s="393">
        <v>0</v>
      </c>
      <c r="S59" s="393">
        <f t="shared" si="17"/>
        <v>0</v>
      </c>
      <c r="T59" s="394">
        <f>IF(AND(R59&gt;=1, $A$1 &lt;=1,Q59&lt;=1), (K59/ ((R59 +1) - 1))*(Team!$H$25/10), 0)</f>
        <v>0</v>
      </c>
      <c r="U59" s="394">
        <f>IF(AND(R59&gt;=2, $A$1 &lt;=2, Q59&lt;=2), ((K59-T59)/ ((R59 +1) - 2))*(Team!$H$26/10), 0)</f>
        <v>0</v>
      </c>
      <c r="V59" s="394">
        <f>IF(AND(R59&gt;=3, $A$1 &lt;=3, Q59&lt;=3), ((K59-(T59+U59))/ ((R59 +1) - 3))*(Team!$H$27/10), 0)</f>
        <v>0</v>
      </c>
      <c r="W59" s="394">
        <f>IF(AND(R59&gt;=4, $A$1 &lt;=4, Q59&lt;=4), ((K59-(T59+U59+V59))/ ((R59 +1) - 4))*(Team!$H$28/10), 0)</f>
        <v>0</v>
      </c>
      <c r="X59" s="394">
        <f>IF(AND(R59&gt;=5, $A$1 &lt;5, Q59&lt;=5), ((K59-(T59+U59+V59+W59))/ ((R59 +1) - 5))*(Team!$H$29/10), 0)</f>
        <v>0</v>
      </c>
      <c r="Y59" s="394">
        <f>IF(AND(R59&gt;=6, $A$1 &lt;6, Q59&lt;=6), ((K59-(T59+U59+V59+W59+X59))/ ((R59 +1) - 6))*(Team!$H$30/10),  0)</f>
        <v>0</v>
      </c>
      <c r="Z59" s="67"/>
      <c r="AA59" s="67"/>
      <c r="AB59" s="196"/>
      <c r="AC59" s="60"/>
      <c r="AD59" s="60"/>
    </row>
    <row r="60" spans="1:30" x14ac:dyDescent="0.25">
      <c r="A60" s="435"/>
      <c r="B60" s="436"/>
      <c r="C60" s="435" t="s">
        <v>727</v>
      </c>
      <c r="D60" s="437"/>
      <c r="E60" s="435"/>
      <c r="F60" s="438"/>
      <c r="G60" s="435">
        <v>8</v>
      </c>
      <c r="H60" s="435">
        <v>1.6</v>
      </c>
      <c r="I60" s="66">
        <f t="shared" si="15"/>
        <v>8</v>
      </c>
      <c r="J60" s="435">
        <v>1.6</v>
      </c>
      <c r="K60" s="66">
        <f t="shared" si="16"/>
        <v>8</v>
      </c>
      <c r="L60" s="216"/>
      <c r="M60" s="391" t="s">
        <v>89</v>
      </c>
      <c r="N60" s="391" t="s">
        <v>282</v>
      </c>
      <c r="O60" s="391" t="s">
        <v>360</v>
      </c>
      <c r="P60" s="391" t="s">
        <v>505</v>
      </c>
      <c r="Q60" s="393">
        <v>1</v>
      </c>
      <c r="R60" s="393">
        <v>2</v>
      </c>
      <c r="S60" s="393">
        <f t="shared" si="17"/>
        <v>2</v>
      </c>
      <c r="T60" s="394">
        <f>IF(AND(R60&gt;=1, $A$1 &lt;=1,Q60&lt;=1), (K60/ ((R60 +1) - 1))*(Team!$H$25/10), 0)</f>
        <v>4</v>
      </c>
      <c r="U60" s="394">
        <f ca="1">IF(AND(R60&gt;=2, $A$1 &lt;=2, Q60&lt;=2), ((K60-T60)/ ((R60 +1) - 2))*(Team!$H$26/10), 0)</f>
        <v>4</v>
      </c>
      <c r="V60" s="394">
        <f>IF(AND(R60&gt;=3, $A$1 &lt;=3, Q60&lt;=3), ((K60-(T60+U60))/ ((R60 +1) - 3))*(Team!$H$27/10), 0)</f>
        <v>0</v>
      </c>
      <c r="W60" s="394">
        <f>IF(AND(R60&gt;=4, $A$1 &lt;=4, Q60&lt;=4), ((K60-(T60+U60+V60))/ ((R60 +1) - 4))*(Team!$H$28/10), 0)</f>
        <v>0</v>
      </c>
      <c r="X60" s="394">
        <f>IF(AND(R60&gt;=5, $A$1 &lt;5, Q60&lt;=5), ((K60-(T60+U60+V60+W60))/ ((R60 +1) - 5))*(Team!$H$29/10), 0)</f>
        <v>0</v>
      </c>
      <c r="Y60" s="394">
        <f>IF(AND(R60&gt;=6, $A$1 &lt;6, Q60&lt;=6), ((K60-(T60+U60+V60+W60+X60))/ ((R60 +1) - 6))*(Team!$H$30/10),  0)</f>
        <v>0</v>
      </c>
      <c r="Z60" s="67"/>
      <c r="AA60" s="67"/>
      <c r="AB60" s="196">
        <v>44702</v>
      </c>
      <c r="AC60" s="60"/>
      <c r="AD60" s="60"/>
    </row>
    <row r="61" spans="1:30" x14ac:dyDescent="0.25">
      <c r="A61" s="435"/>
      <c r="B61" s="436"/>
      <c r="C61" s="435" t="s">
        <v>728</v>
      </c>
      <c r="D61" s="437"/>
      <c r="E61" s="435"/>
      <c r="F61" s="438"/>
      <c r="G61" s="435">
        <v>8</v>
      </c>
      <c r="H61" s="435">
        <v>1.6</v>
      </c>
      <c r="I61" s="66">
        <f t="shared" si="15"/>
        <v>8</v>
      </c>
      <c r="J61" s="435">
        <v>1.6</v>
      </c>
      <c r="K61" s="66">
        <f t="shared" si="16"/>
        <v>8</v>
      </c>
      <c r="L61" s="216"/>
      <c r="M61" s="391" t="s">
        <v>89</v>
      </c>
      <c r="N61" s="391" t="s">
        <v>282</v>
      </c>
      <c r="O61" s="391" t="s">
        <v>360</v>
      </c>
      <c r="P61" s="391" t="s">
        <v>505</v>
      </c>
      <c r="Q61" s="393">
        <v>1</v>
      </c>
      <c r="R61" s="393">
        <v>4</v>
      </c>
      <c r="S61" s="393">
        <f t="shared" si="17"/>
        <v>4</v>
      </c>
      <c r="T61" s="394">
        <f>IF(AND(R61&gt;=1, $A$1 &lt;=1,Q61&lt;=1), (K61/ ((R61 +1) - 1))*(Team!$H$25/10), 0)</f>
        <v>2</v>
      </c>
      <c r="U61" s="394">
        <f ca="1">IF(AND(R61&gt;=2, $A$1 &lt;=2, Q61&lt;=2), ((K61-T61)/ ((R61 +1) - 2))*(Team!$H$26/10), 0)</f>
        <v>2</v>
      </c>
      <c r="V61" s="394">
        <f ca="1">IF(AND(R61&gt;=3, $A$1 &lt;=3, Q61&lt;=3), ((K61-(T61+U61))/ ((R61 +1) - 3))*(Team!$H$27/10), 0)</f>
        <v>2</v>
      </c>
      <c r="W61" s="394">
        <f ca="1">IF(AND(R61&gt;=4, $A$1 &lt;=4, Q61&lt;=4), ((K61-(T61+U61+V61))/ ((R61 +1) - 4))*(Team!$H$28/10), 0)</f>
        <v>2</v>
      </c>
      <c r="X61" s="394">
        <f>IF(AND(R61&gt;=5, $A$1 &lt;5, Q61&lt;=5), ((K61-(T61+U61+V61+W61))/ ((R61 +1) - 5))*(Team!$H$29/10), 0)</f>
        <v>0</v>
      </c>
      <c r="Y61" s="394">
        <f>IF(AND(R61&gt;=6, $A$1 &lt;6, Q61&lt;=6), ((K61-(T61+U61+V61+W61+X61))/ ((R61 +1) - 6))*(Team!$H$30/10),  0)</f>
        <v>0</v>
      </c>
      <c r="Z61" s="67"/>
      <c r="AA61" s="67"/>
      <c r="AB61" s="196">
        <v>44730</v>
      </c>
      <c r="AC61" s="60"/>
      <c r="AD61" s="60"/>
    </row>
    <row r="62" spans="1:30" x14ac:dyDescent="0.25">
      <c r="A62" s="435"/>
      <c r="B62" s="436"/>
      <c r="C62" s="435" t="s">
        <v>729</v>
      </c>
      <c r="D62" s="437"/>
      <c r="E62" s="435"/>
      <c r="F62" s="438"/>
      <c r="G62" s="435">
        <v>8</v>
      </c>
      <c r="H62" s="435">
        <v>1.6</v>
      </c>
      <c r="I62" s="66">
        <f t="shared" si="15"/>
        <v>8</v>
      </c>
      <c r="J62" s="435">
        <v>1.6</v>
      </c>
      <c r="K62" s="66">
        <f t="shared" si="16"/>
        <v>8</v>
      </c>
      <c r="L62" s="216"/>
      <c r="M62" s="391" t="s">
        <v>89</v>
      </c>
      <c r="N62" s="391" t="s">
        <v>282</v>
      </c>
      <c r="O62" s="391" t="s">
        <v>360</v>
      </c>
      <c r="P62" s="391" t="s">
        <v>505</v>
      </c>
      <c r="Q62" s="393">
        <v>3</v>
      </c>
      <c r="R62" s="393">
        <v>6</v>
      </c>
      <c r="S62" s="393">
        <f t="shared" si="17"/>
        <v>6</v>
      </c>
      <c r="T62" s="394">
        <f>IF(AND(R62&gt;=1, $A$1 &lt;=1,Q62&lt;=1), (K62/ ((R62 +1) - 1))*(Team!$H$25/10), 0)</f>
        <v>0</v>
      </c>
      <c r="U62" s="394">
        <f>IF(AND(R62&gt;=2, $A$1 &lt;=2, Q62&lt;=2), ((K62-T62)/ ((R62 +1) - 2))*(Team!$H$26/10), 0)</f>
        <v>0</v>
      </c>
      <c r="V62" s="394">
        <f ca="1">IF(AND(R62&gt;=3, $A$1 &lt;=3, Q62&lt;=3), ((K62-(T62+U62))/ ((R62 +1) - 3))*(Team!$H$27/10), 0)</f>
        <v>2</v>
      </c>
      <c r="W62" s="394">
        <f ca="1">IF(AND(R62&gt;=4, $A$1 &lt;=4, Q62&lt;=4), ((K62-(T62+U62+V62))/ ((R62 +1) - 4))*(Team!$H$28/10), 0)</f>
        <v>2</v>
      </c>
      <c r="X62" s="394">
        <f ca="1">IF(AND(R62&gt;=5, $A$1 &lt;5, Q62&lt;=5), ((K62-(T62+U62+V62+W62))/ ((R62 +1) - 5))*(Team!$H$29/10), 0)</f>
        <v>2</v>
      </c>
      <c r="Y62" s="394">
        <f ca="1">IF(AND(R62&gt;=6, $A$1 &lt;6, Q62&lt;=6), ((K62-(T62+U62+V62+W62+X62))/ ((R62 +1) - 6))*(Team!$H$30/10),  0)</f>
        <v>2</v>
      </c>
      <c r="Z62" s="67"/>
      <c r="AA62" s="67"/>
      <c r="AB62" s="196">
        <v>44758</v>
      </c>
      <c r="AC62" s="60"/>
      <c r="AD62" s="60"/>
    </row>
    <row r="63" spans="1:30" x14ac:dyDescent="0.25">
      <c r="A63" s="435"/>
      <c r="B63" s="436"/>
      <c r="C63" s="435" t="s">
        <v>730</v>
      </c>
      <c r="D63" s="437"/>
      <c r="E63" s="435"/>
      <c r="F63" s="438"/>
      <c r="G63" s="435">
        <v>8</v>
      </c>
      <c r="H63" s="435">
        <v>1.6</v>
      </c>
      <c r="I63" s="66">
        <f t="shared" si="15"/>
        <v>8</v>
      </c>
      <c r="J63" s="435">
        <v>1.6</v>
      </c>
      <c r="K63" s="66">
        <f t="shared" si="16"/>
        <v>8</v>
      </c>
      <c r="L63" s="216"/>
      <c r="M63" s="391" t="s">
        <v>89</v>
      </c>
      <c r="N63" s="391" t="s">
        <v>282</v>
      </c>
      <c r="O63" s="391" t="s">
        <v>360</v>
      </c>
      <c r="P63" s="391" t="s">
        <v>505</v>
      </c>
      <c r="Q63" s="393">
        <v>5</v>
      </c>
      <c r="R63" s="393">
        <v>5</v>
      </c>
      <c r="S63" s="393">
        <f t="shared" si="17"/>
        <v>5</v>
      </c>
      <c r="T63" s="394">
        <f>IF(AND(R63&gt;=1, $A$1 &lt;=1,Q63&lt;=1), (K63/ ((R63 +1) - 1))*(Team!$H$25/10), 0)</f>
        <v>0</v>
      </c>
      <c r="U63" s="394">
        <f>IF(AND(R63&gt;=2, $A$1 &lt;=2, Q63&lt;=2), ((K63-T63)/ ((R63 +1) - 2))*(Team!$H$26/10), 0)</f>
        <v>0</v>
      </c>
      <c r="V63" s="394">
        <f>IF(AND(R63&gt;=3, $A$1 &lt;=3, Q63&lt;=3), ((K63-(T63+U63))/ ((R63 +1) - 3))*(Team!$H$27/10), 0)</f>
        <v>0</v>
      </c>
      <c r="W63" s="394">
        <f>IF(AND(R63&gt;=4, $A$1 &lt;=4, Q63&lt;=4), ((K63-(T63+U63+V63))/ ((R63 +1) - 4))*(Team!$H$28/10), 0)</f>
        <v>0</v>
      </c>
      <c r="X63" s="394">
        <f ca="1">IF(AND(R63&gt;=5, $A$1 &lt;5, Q63&lt;=5), ((K63-(T63+U63+V63+W63))/ ((R63 +1) - 5))*(Team!$H$29/10), 0)</f>
        <v>8</v>
      </c>
      <c r="Y63" s="394">
        <f>IF(AND(R63&gt;=6, $A$1 &lt;6, Q63&lt;=6), ((K63-(T63+U63+V63+W63+X63))/ ((R63 +1) - 6))*(Team!$H$30/10),  0)</f>
        <v>0</v>
      </c>
      <c r="Z63" s="67"/>
      <c r="AA63" s="67"/>
      <c r="AB63" s="196">
        <v>44793</v>
      </c>
      <c r="AC63" s="60"/>
      <c r="AD63" s="60"/>
    </row>
    <row r="64" spans="1:30" ht="36" x14ac:dyDescent="0.25">
      <c r="A64" s="4"/>
      <c r="B64" s="2"/>
      <c r="C64" s="214"/>
      <c r="D64" s="1"/>
      <c r="E64" s="1"/>
      <c r="F64" s="92" t="s">
        <v>512</v>
      </c>
      <c r="G64" s="93"/>
      <c r="H64" s="94"/>
      <c r="I64" s="95">
        <f>Team!C12</f>
        <v>0</v>
      </c>
      <c r="J64" s="96" t="s">
        <v>513</v>
      </c>
      <c r="K64" s="95">
        <f>Team!C23</f>
        <v>884</v>
      </c>
      <c r="L64" s="97" t="s">
        <v>514</v>
      </c>
      <c r="M64" s="109">
        <f>COUNTIF(N3:N63,"Commit")</f>
        <v>61</v>
      </c>
      <c r="N64" s="110" t="s">
        <v>515</v>
      </c>
      <c r="O64" s="109" cm="1">
        <f t="array" ref="O64">SUM(COUNTIFS(N3:N63,{"Stretch","Vendor"})) - COUNTIFS(N3:N63,"Vendor", M3:M63,"Resolved")</f>
        <v>0</v>
      </c>
      <c r="P64" s="111"/>
      <c r="T64" s="111">
        <f>IF(AND(R64&gt;=1, $A$1 &lt;=1,Q64&lt;=1), (K64/ ((R64 +1) - 1))*(Team!$H$25/10), 0)</f>
        <v>0</v>
      </c>
      <c r="U64" s="111">
        <f>IF(AND(S64&gt;=1, $A$1 &lt;=1,R64&lt;=1), (L64/ ((S64 +1) - 1))*(Team!$H$25/10), 0)</f>
        <v>0</v>
      </c>
      <c r="V64" s="111">
        <f>IF(AND(T64&gt;=1, $A$1 &lt;=1,S64&lt;=1), (M64/ ((T64 +1) - 1))*(Team!$H$25/10), 0)</f>
        <v>0</v>
      </c>
      <c r="W64" s="111">
        <f>IF(AND(U64&gt;=1, $A$1 &lt;=1,T64&lt;=1), (N64/ ((U64 +1) - 1))*(Team!$H$25/10), 0)</f>
        <v>0</v>
      </c>
      <c r="X64" s="67">
        <f>IF(AND(R64&gt;=5, $A$1 &lt;5, Q64&lt;=5), ((K64-(T64+U64+V64+W64))/ ((R64 +1) - 5))*(Team!$H$29/10), 0)</f>
        <v>0</v>
      </c>
      <c r="Y64" s="60">
        <f>IF(AND(R64&gt;=6, $A$1 &lt;6, Q64&lt;=6), ((K64-(T64+U64+V64+W64+X64))/ ((R64 +1) - 6))*(Team!$H$30/10),  0)</f>
        <v>0</v>
      </c>
      <c r="Z64" s="55"/>
      <c r="AA64" s="55"/>
      <c r="AC64" s="112" t="e">
        <f>(H64-J64)/H64</f>
        <v>#VALUE!</v>
      </c>
      <c r="AD64" s="112" t="e">
        <f>IF(AC64=1, G64,0)</f>
        <v>#VALUE!</v>
      </c>
    </row>
    <row r="65" spans="1:30" ht="36" x14ac:dyDescent="0.25">
      <c r="A65" s="4"/>
      <c r="C65" s="185"/>
      <c r="F65" s="71" t="s">
        <v>516</v>
      </c>
      <c r="G65" s="72"/>
      <c r="H65" s="73"/>
      <c r="I65" s="83">
        <f>Team!D12</f>
        <v>837.52</v>
      </c>
      <c r="J65" s="525" t="str">
        <f>IF(I66=0,"Over Committed", IF(I66=1, "High Risk", IF(I66=2, "Some Risk", "Fully Committed")))</f>
        <v>Fully Committed</v>
      </c>
      <c r="K65" s="81">
        <f ca="1">Team!D23</f>
        <v>837.52</v>
      </c>
      <c r="L65" s="520" t="str">
        <f ca="1">IF(K66=0,"Over Committed", IF(K66=1, "High Risk", IF(K66=2, "Some Risk", "Fully Committed")))</f>
        <v>Over Committed</v>
      </c>
      <c r="M65" s="521" t="s">
        <v>517</v>
      </c>
      <c r="N65" s="522"/>
      <c r="O65" s="79" t="s">
        <v>518</v>
      </c>
      <c r="Y65" s="60">
        <f>IF(AND(R65&gt;=6, $A$1 &lt;6, Q65&lt;=6), ((K65-(T65+U65+V65+W65+X65))/ ((R65 +1) - 6))*(Team!$H$30/10),  0)</f>
        <v>0</v>
      </c>
      <c r="AC65" s="60" t="e">
        <f>(H65-J65)/H65</f>
        <v>#VALUE!</v>
      </c>
      <c r="AD65" s="60" t="e">
        <f>IF(AC65=1, G65,0)</f>
        <v>#VALUE!</v>
      </c>
    </row>
    <row r="66" spans="1:30" ht="24" thickBot="1" x14ac:dyDescent="0.3">
      <c r="A66" s="4"/>
      <c r="C66" s="1"/>
      <c r="F66" s="74" t="s">
        <v>519</v>
      </c>
      <c r="G66" s="75"/>
      <c r="H66" s="76"/>
      <c r="I66" s="82">
        <f>IF(I64 &gt; I65, IF((1-(I65/I64)) &lt;= 0.03, 2,IF(AND((1-(I65/I64)) &gt; 0.03,  (1-(I65/I64)) &lt;= 0.05), 1,0)),3)</f>
        <v>3</v>
      </c>
      <c r="J66" s="525"/>
      <c r="K66" s="82">
        <f ca="1">IF(K64 &gt; K65, IF((1-(K65/K64)) &lt;= 0.03, 2,IF(AND((1-(K65/K64)) &gt; 0.03,  (1-(K65/K64)) &lt;= 0.05), 1,0)),3)</f>
        <v>0</v>
      </c>
      <c r="L66" s="520"/>
      <c r="M66" s="523" cm="1">
        <f t="array" ref="M66">SUM(COUNTIFS(M3:M63,{"Resolved","Closed"}))</f>
        <v>0</v>
      </c>
      <c r="N66" s="524"/>
      <c r="O66" s="80">
        <f>COUNT(B3:B63)</f>
        <v>0</v>
      </c>
    </row>
    <row r="67" spans="1:30" x14ac:dyDescent="0.25">
      <c r="A67" s="4"/>
      <c r="G67"/>
      <c r="H67"/>
      <c r="J67"/>
      <c r="L67"/>
      <c r="M67"/>
      <c r="O67"/>
      <c r="P67"/>
    </row>
    <row r="68" spans="1:30" x14ac:dyDescent="0.25">
      <c r="A68" s="4"/>
      <c r="G68"/>
      <c r="H68"/>
      <c r="J68"/>
      <c r="L68"/>
      <c r="M68"/>
      <c r="O68"/>
      <c r="P68"/>
    </row>
    <row r="69" spans="1:30" x14ac:dyDescent="0.25">
      <c r="A69" s="4"/>
      <c r="G69"/>
      <c r="H69"/>
      <c r="J69"/>
      <c r="L69"/>
      <c r="M69"/>
      <c r="O69"/>
      <c r="P69"/>
    </row>
    <row r="70" spans="1:30" x14ac:dyDescent="0.25">
      <c r="A70" s="4"/>
      <c r="G70"/>
      <c r="H70"/>
      <c r="J70"/>
      <c r="L70"/>
      <c r="M70"/>
      <c r="O70"/>
      <c r="P70"/>
    </row>
    <row r="71" spans="1:30" x14ac:dyDescent="0.25">
      <c r="A71" s="4"/>
      <c r="G71"/>
      <c r="H71"/>
      <c r="J71"/>
      <c r="L71"/>
      <c r="M71"/>
      <c r="O71" t="s">
        <v>520</v>
      </c>
      <c r="P71"/>
    </row>
    <row r="72" spans="1:30" x14ac:dyDescent="0.25">
      <c r="A72" s="4"/>
      <c r="G72"/>
      <c r="H72"/>
      <c r="J72"/>
      <c r="L72"/>
      <c r="M72"/>
      <c r="O72"/>
      <c r="P72"/>
    </row>
    <row r="73" spans="1:30" x14ac:dyDescent="0.25">
      <c r="A73" s="4"/>
      <c r="G73"/>
      <c r="H73"/>
      <c r="J73"/>
      <c r="L73"/>
      <c r="M73"/>
      <c r="O73"/>
      <c r="P73"/>
    </row>
    <row r="74" spans="1:30" x14ac:dyDescent="0.25">
      <c r="A74" s="4"/>
      <c r="G74"/>
      <c r="H74"/>
      <c r="J74"/>
      <c r="L74"/>
      <c r="M74"/>
      <c r="O74"/>
      <c r="P74"/>
    </row>
    <row r="75" spans="1:30" x14ac:dyDescent="0.25">
      <c r="A75" s="4"/>
      <c r="G75"/>
      <c r="H75"/>
      <c r="J75"/>
      <c r="L75"/>
      <c r="M75"/>
      <c r="O75"/>
      <c r="P75"/>
    </row>
    <row r="76" spans="1:30" x14ac:dyDescent="0.25">
      <c r="A76" s="4"/>
      <c r="G76"/>
      <c r="H76"/>
      <c r="J76"/>
      <c r="L76"/>
      <c r="M76"/>
      <c r="O76"/>
      <c r="P76"/>
    </row>
    <row r="77" spans="1:30" x14ac:dyDescent="0.25">
      <c r="A77" s="4"/>
      <c r="G77"/>
      <c r="H77"/>
      <c r="J77"/>
      <c r="L77"/>
      <c r="M77"/>
      <c r="O77"/>
      <c r="P77"/>
    </row>
    <row r="78" spans="1:30" x14ac:dyDescent="0.25">
      <c r="A78" s="4"/>
      <c r="G78"/>
      <c r="H78"/>
      <c r="J78"/>
      <c r="L78"/>
      <c r="M78"/>
      <c r="O78"/>
      <c r="P78"/>
    </row>
    <row r="79" spans="1:30" x14ac:dyDescent="0.25">
      <c r="A79" s="4"/>
      <c r="G79"/>
      <c r="H79"/>
      <c r="J79"/>
      <c r="L79"/>
      <c r="M79"/>
      <c r="O79"/>
      <c r="P79"/>
    </row>
    <row r="80" spans="1:30" x14ac:dyDescent="0.25">
      <c r="A80" s="4"/>
      <c r="G80"/>
      <c r="H80"/>
      <c r="J80"/>
      <c r="L80"/>
      <c r="M80"/>
      <c r="O80"/>
      <c r="P80"/>
    </row>
    <row r="81" spans="1:34" x14ac:dyDescent="0.25">
      <c r="A81" s="4"/>
      <c r="G81"/>
      <c r="H81"/>
      <c r="J81"/>
      <c r="L81"/>
      <c r="M81"/>
      <c r="O81"/>
      <c r="P81"/>
    </row>
    <row r="82" spans="1:34" x14ac:dyDescent="0.25">
      <c r="A82" s="4"/>
      <c r="G82"/>
      <c r="H82"/>
      <c r="J82"/>
      <c r="L82"/>
      <c r="M82"/>
      <c r="O82"/>
      <c r="P82"/>
    </row>
    <row r="83" spans="1:34" x14ac:dyDescent="0.25">
      <c r="A83" s="4"/>
      <c r="G83"/>
      <c r="H83"/>
      <c r="J83"/>
      <c r="L83"/>
      <c r="M83"/>
      <c r="O83"/>
      <c r="P83"/>
    </row>
    <row r="84" spans="1:34" s="102" customFormat="1" x14ac:dyDescent="0.25">
      <c r="A84" s="101"/>
      <c r="B84"/>
      <c r="C84"/>
      <c r="D84"/>
      <c r="E84"/>
      <c r="F84"/>
      <c r="G84"/>
      <c r="H84"/>
      <c r="I84"/>
      <c r="J84"/>
      <c r="K84"/>
      <c r="L84"/>
      <c r="M84"/>
      <c r="N84"/>
      <c r="O84"/>
      <c r="P84"/>
      <c r="Q84"/>
      <c r="R84"/>
      <c r="S84"/>
      <c r="T84"/>
      <c r="U84"/>
      <c r="V84"/>
      <c r="W84"/>
      <c r="X84"/>
      <c r="Y84"/>
      <c r="Z84"/>
      <c r="AA84"/>
      <c r="AB84" s="49"/>
      <c r="AC84"/>
      <c r="AD84"/>
    </row>
    <row r="85" spans="1:34" s="104" customFormat="1" x14ac:dyDescent="0.25">
      <c r="A85" s="103"/>
      <c r="B85"/>
      <c r="C85"/>
      <c r="D85"/>
      <c r="E85"/>
      <c r="F85"/>
      <c r="G85"/>
      <c r="H85"/>
      <c r="I85"/>
      <c r="J85"/>
      <c r="K85"/>
      <c r="L85"/>
      <c r="M85"/>
      <c r="N85"/>
      <c r="O85"/>
      <c r="P85"/>
      <c r="Q85"/>
      <c r="R85"/>
      <c r="S85"/>
      <c r="T85"/>
      <c r="U85"/>
      <c r="V85"/>
      <c r="W85"/>
      <c r="X85"/>
      <c r="Y85"/>
      <c r="Z85"/>
      <c r="AA85"/>
      <c r="AB85" s="49"/>
      <c r="AC85"/>
      <c r="AD85"/>
    </row>
    <row r="86" spans="1:34" x14ac:dyDescent="0.25">
      <c r="A86" s="4"/>
      <c r="G86"/>
      <c r="H86"/>
      <c r="J86"/>
      <c r="L86"/>
      <c r="M86"/>
      <c r="O86"/>
      <c r="P86"/>
    </row>
    <row r="87" spans="1:34" x14ac:dyDescent="0.25">
      <c r="A87" s="4"/>
      <c r="G87"/>
      <c r="H87"/>
      <c r="J87"/>
      <c r="L87"/>
      <c r="M87"/>
      <c r="O87"/>
      <c r="P87"/>
    </row>
    <row r="88" spans="1:34" x14ac:dyDescent="0.25">
      <c r="A88" s="4"/>
      <c r="G88"/>
      <c r="H88"/>
      <c r="J88"/>
      <c r="L88"/>
      <c r="M88"/>
      <c r="O88"/>
      <c r="P88"/>
    </row>
    <row r="89" spans="1:34" x14ac:dyDescent="0.25">
      <c r="A89" s="4"/>
      <c r="G89"/>
      <c r="H89"/>
      <c r="J89"/>
      <c r="L89"/>
      <c r="M89"/>
      <c r="O89"/>
      <c r="P89"/>
      <c r="AF89">
        <v>0.2</v>
      </c>
      <c r="AG89">
        <v>1</v>
      </c>
    </row>
    <row r="90" spans="1:34" x14ac:dyDescent="0.25">
      <c r="G90"/>
      <c r="H90"/>
      <c r="J90"/>
      <c r="L90"/>
      <c r="M90"/>
      <c r="O90"/>
      <c r="P90"/>
      <c r="AF90">
        <v>0.4</v>
      </c>
      <c r="AG90">
        <v>2</v>
      </c>
    </row>
    <row r="91" spans="1:34" x14ac:dyDescent="0.25">
      <c r="G91"/>
      <c r="H91"/>
      <c r="J91"/>
      <c r="L91"/>
      <c r="M91"/>
      <c r="O91"/>
      <c r="P91"/>
      <c r="AF91">
        <v>0.6</v>
      </c>
      <c r="AG91">
        <v>3</v>
      </c>
    </row>
    <row r="92" spans="1:34" x14ac:dyDescent="0.25">
      <c r="G92"/>
      <c r="H92"/>
      <c r="J92"/>
      <c r="L92"/>
      <c r="M92"/>
      <c r="O92"/>
      <c r="P92"/>
      <c r="AF92">
        <v>0.8</v>
      </c>
      <c r="AG92">
        <v>4</v>
      </c>
    </row>
    <row r="93" spans="1:34" x14ac:dyDescent="0.25">
      <c r="G93"/>
      <c r="H93"/>
      <c r="J93"/>
      <c r="L93"/>
      <c r="M93"/>
      <c r="O93"/>
      <c r="P93"/>
      <c r="AF93">
        <v>1.6</v>
      </c>
      <c r="AG93">
        <v>8</v>
      </c>
    </row>
    <row r="94" spans="1:34" x14ac:dyDescent="0.25">
      <c r="G94"/>
      <c r="H94"/>
      <c r="J94"/>
      <c r="L94"/>
      <c r="M94"/>
      <c r="O94"/>
      <c r="P94"/>
      <c r="AF94">
        <v>1</v>
      </c>
      <c r="AG94">
        <v>5</v>
      </c>
      <c r="AH94" t="s">
        <v>185</v>
      </c>
    </row>
    <row r="95" spans="1:34" x14ac:dyDescent="0.25">
      <c r="G95"/>
      <c r="H95"/>
      <c r="J95"/>
      <c r="L95"/>
      <c r="M95"/>
      <c r="O95"/>
      <c r="P95"/>
      <c r="AF95" s="56">
        <v>2</v>
      </c>
      <c r="AG95" s="56">
        <v>10</v>
      </c>
      <c r="AH95" s="56" t="s">
        <v>521</v>
      </c>
    </row>
    <row r="96" spans="1:34" x14ac:dyDescent="0.25">
      <c r="G96"/>
      <c r="H96"/>
      <c r="J96"/>
      <c r="L96"/>
      <c r="M96"/>
      <c r="O96"/>
      <c r="P96"/>
      <c r="AF96">
        <v>3</v>
      </c>
      <c r="AG96">
        <v>15</v>
      </c>
      <c r="AH96" t="s">
        <v>522</v>
      </c>
    </row>
    <row r="97" spans="7:34" x14ac:dyDescent="0.25">
      <c r="G97"/>
      <c r="H97"/>
      <c r="J97"/>
      <c r="L97"/>
      <c r="M97"/>
      <c r="O97"/>
      <c r="P97"/>
      <c r="AF97">
        <v>4</v>
      </c>
      <c r="AG97">
        <v>20</v>
      </c>
      <c r="AH97" t="s">
        <v>523</v>
      </c>
    </row>
    <row r="98" spans="7:34" x14ac:dyDescent="0.25">
      <c r="G98"/>
      <c r="H98"/>
      <c r="J98"/>
      <c r="L98"/>
      <c r="M98"/>
      <c r="O98"/>
      <c r="P98"/>
      <c r="AF98">
        <v>5</v>
      </c>
      <c r="AG98">
        <v>25</v>
      </c>
      <c r="AH98" t="s">
        <v>505</v>
      </c>
    </row>
    <row r="99" spans="7:34" x14ac:dyDescent="0.25">
      <c r="G99"/>
      <c r="H99"/>
      <c r="J99"/>
      <c r="L99"/>
      <c r="M99"/>
      <c r="O99"/>
      <c r="P99"/>
      <c r="AF99">
        <v>6</v>
      </c>
      <c r="AG99">
        <v>30</v>
      </c>
      <c r="AH99" t="s">
        <v>183</v>
      </c>
    </row>
    <row r="100" spans="7:34" x14ac:dyDescent="0.25">
      <c r="G100"/>
      <c r="H100"/>
      <c r="J100"/>
      <c r="L100"/>
      <c r="M100"/>
      <c r="O100"/>
      <c r="P100"/>
      <c r="AF100">
        <v>7</v>
      </c>
      <c r="AG100">
        <v>35</v>
      </c>
      <c r="AH100" t="s">
        <v>524</v>
      </c>
    </row>
    <row r="101" spans="7:34" x14ac:dyDescent="0.25">
      <c r="G101"/>
      <c r="H101"/>
      <c r="J101"/>
      <c r="L101"/>
      <c r="M101"/>
      <c r="O101"/>
      <c r="P101"/>
      <c r="AF101">
        <v>8</v>
      </c>
      <c r="AG101">
        <v>40</v>
      </c>
      <c r="AH101" t="s">
        <v>505</v>
      </c>
    </row>
    <row r="102" spans="7:34" x14ac:dyDescent="0.25">
      <c r="G102"/>
      <c r="H102"/>
      <c r="J102"/>
      <c r="L102"/>
      <c r="M102"/>
      <c r="O102"/>
      <c r="P102"/>
      <c r="AF102">
        <v>9</v>
      </c>
      <c r="AG102">
        <v>45</v>
      </c>
      <c r="AH102" t="s">
        <v>183</v>
      </c>
    </row>
    <row r="103" spans="7:34" x14ac:dyDescent="0.25">
      <c r="G103"/>
      <c r="H103"/>
      <c r="J103"/>
      <c r="L103"/>
      <c r="M103"/>
      <c r="O103"/>
      <c r="P103"/>
      <c r="AF103">
        <v>10</v>
      </c>
      <c r="AG103">
        <v>55</v>
      </c>
    </row>
    <row r="104" spans="7:34" x14ac:dyDescent="0.25">
      <c r="G104"/>
      <c r="H104"/>
      <c r="J104"/>
      <c r="L104"/>
      <c r="M104"/>
      <c r="O104"/>
      <c r="P104"/>
    </row>
    <row r="105" spans="7:34" x14ac:dyDescent="0.25">
      <c r="G105"/>
      <c r="H105"/>
      <c r="J105"/>
      <c r="L105"/>
      <c r="M105"/>
      <c r="O105"/>
      <c r="P105"/>
    </row>
    <row r="106" spans="7:34" x14ac:dyDescent="0.25">
      <c r="G106"/>
      <c r="H106"/>
      <c r="J106"/>
      <c r="L106"/>
      <c r="M106"/>
      <c r="O106"/>
      <c r="P106"/>
    </row>
    <row r="107" spans="7:34" x14ac:dyDescent="0.25">
      <c r="G107"/>
      <c r="H107"/>
      <c r="J107"/>
      <c r="L107"/>
      <c r="M107"/>
      <c r="O107"/>
      <c r="P107"/>
    </row>
    <row r="108" spans="7:34" x14ac:dyDescent="0.25">
      <c r="G108"/>
      <c r="H108"/>
      <c r="J108"/>
      <c r="L108"/>
      <c r="M108"/>
      <c r="O108"/>
      <c r="P108"/>
    </row>
    <row r="109" spans="7:34" x14ac:dyDescent="0.25">
      <c r="G109"/>
      <c r="H109"/>
      <c r="J109"/>
      <c r="L109"/>
      <c r="M109"/>
      <c r="O109"/>
      <c r="P109"/>
    </row>
    <row r="110" spans="7:34" x14ac:dyDescent="0.25">
      <c r="G110"/>
      <c r="H110"/>
      <c r="J110"/>
      <c r="L110"/>
      <c r="M110"/>
      <c r="O110"/>
      <c r="P110"/>
    </row>
    <row r="111" spans="7:34" x14ac:dyDescent="0.25">
      <c r="G111"/>
      <c r="H111"/>
      <c r="J111"/>
      <c r="L111"/>
      <c r="M111"/>
      <c r="O111"/>
      <c r="P111"/>
    </row>
    <row r="112" spans="7:34" x14ac:dyDescent="0.25">
      <c r="G112"/>
      <c r="H112"/>
      <c r="J112"/>
      <c r="L112"/>
      <c r="M112"/>
      <c r="O112"/>
      <c r="P112"/>
    </row>
    <row r="113" spans="7:16" x14ac:dyDescent="0.25">
      <c r="G113"/>
      <c r="H113"/>
      <c r="J113"/>
      <c r="L113"/>
      <c r="M113"/>
      <c r="O113"/>
      <c r="P113"/>
    </row>
    <row r="114" spans="7:16" x14ac:dyDescent="0.25">
      <c r="G114"/>
      <c r="H114"/>
      <c r="J114"/>
      <c r="L114"/>
      <c r="M114"/>
      <c r="O114"/>
      <c r="P114"/>
    </row>
    <row r="115" spans="7:16" x14ac:dyDescent="0.25">
      <c r="G115"/>
      <c r="H115"/>
      <c r="J115"/>
      <c r="L115"/>
      <c r="M115"/>
      <c r="O115"/>
      <c r="P115"/>
    </row>
    <row r="116" spans="7:16" x14ac:dyDescent="0.25">
      <c r="G116"/>
      <c r="H116"/>
      <c r="J116"/>
      <c r="L116"/>
      <c r="M116"/>
      <c r="O116"/>
      <c r="P116"/>
    </row>
    <row r="117" spans="7:16" x14ac:dyDescent="0.25">
      <c r="G117"/>
      <c r="H117"/>
      <c r="J117"/>
      <c r="L117"/>
      <c r="M117"/>
      <c r="O117"/>
      <c r="P117"/>
    </row>
    <row r="118" spans="7:16" x14ac:dyDescent="0.25">
      <c r="G118"/>
      <c r="H118"/>
      <c r="J118"/>
      <c r="L118"/>
      <c r="M118"/>
      <c r="O118"/>
      <c r="P118"/>
    </row>
    <row r="119" spans="7:16" x14ac:dyDescent="0.25">
      <c r="G119"/>
      <c r="H119"/>
      <c r="J119"/>
      <c r="L119"/>
      <c r="M119"/>
      <c r="O119"/>
      <c r="P119"/>
    </row>
    <row r="120" spans="7:16" x14ac:dyDescent="0.25">
      <c r="G120"/>
      <c r="H120"/>
      <c r="J120"/>
      <c r="L120"/>
      <c r="M120"/>
      <c r="O120"/>
      <c r="P120"/>
    </row>
    <row r="121" spans="7:16" x14ac:dyDescent="0.25">
      <c r="G121"/>
      <c r="H121"/>
      <c r="J121"/>
      <c r="L121"/>
      <c r="M121"/>
      <c r="O121"/>
      <c r="P121"/>
    </row>
    <row r="122" spans="7:16" x14ac:dyDescent="0.25">
      <c r="G122"/>
      <c r="H122"/>
      <c r="J122"/>
      <c r="L122"/>
      <c r="M122"/>
      <c r="O122"/>
      <c r="P122"/>
    </row>
    <row r="123" spans="7:16" x14ac:dyDescent="0.25">
      <c r="G123"/>
      <c r="H123"/>
      <c r="J123"/>
      <c r="L123"/>
      <c r="M123"/>
      <c r="O123"/>
      <c r="P123"/>
    </row>
    <row r="124" spans="7:16" x14ac:dyDescent="0.25">
      <c r="G124"/>
      <c r="H124"/>
      <c r="J124"/>
      <c r="L124"/>
      <c r="M124"/>
      <c r="O124"/>
      <c r="P124"/>
    </row>
    <row r="125" spans="7:16" x14ac:dyDescent="0.25">
      <c r="G125"/>
      <c r="H125"/>
      <c r="J125"/>
      <c r="L125"/>
      <c r="M125"/>
      <c r="O125"/>
      <c r="P125"/>
    </row>
    <row r="126" spans="7:16" x14ac:dyDescent="0.25">
      <c r="G126"/>
      <c r="H126"/>
      <c r="J126"/>
      <c r="L126"/>
      <c r="M126"/>
      <c r="O126"/>
      <c r="P126"/>
    </row>
    <row r="127" spans="7:16" x14ac:dyDescent="0.25">
      <c r="G127"/>
      <c r="H127"/>
      <c r="J127"/>
      <c r="L127"/>
      <c r="M127"/>
      <c r="O127"/>
      <c r="P127"/>
    </row>
    <row r="128" spans="7:16" x14ac:dyDescent="0.25">
      <c r="G128"/>
      <c r="H128"/>
      <c r="J128"/>
      <c r="L128"/>
      <c r="M128"/>
      <c r="O128"/>
      <c r="P128"/>
    </row>
    <row r="129" spans="7:16" x14ac:dyDescent="0.25">
      <c r="G129"/>
      <c r="H129"/>
      <c r="J129"/>
      <c r="L129"/>
      <c r="M129"/>
      <c r="O129"/>
      <c r="P129"/>
    </row>
    <row r="130" spans="7:16" x14ac:dyDescent="0.25">
      <c r="G130"/>
      <c r="H130"/>
      <c r="J130"/>
      <c r="L130"/>
      <c r="M130"/>
      <c r="O130"/>
      <c r="P130"/>
    </row>
    <row r="131" spans="7:16" x14ac:dyDescent="0.25">
      <c r="G131"/>
      <c r="H131"/>
      <c r="J131"/>
      <c r="L131"/>
      <c r="M131"/>
      <c r="O131"/>
      <c r="P131"/>
    </row>
    <row r="132" spans="7:16" x14ac:dyDescent="0.25">
      <c r="G132"/>
      <c r="H132"/>
      <c r="J132"/>
      <c r="L132"/>
      <c r="M132"/>
      <c r="O132"/>
      <c r="P132"/>
    </row>
    <row r="133" spans="7:16" x14ac:dyDescent="0.25">
      <c r="G133"/>
      <c r="H133"/>
      <c r="J133"/>
      <c r="L133"/>
      <c r="M133"/>
      <c r="O133"/>
      <c r="P133"/>
    </row>
    <row r="134" spans="7:16" x14ac:dyDescent="0.25">
      <c r="G134"/>
      <c r="H134"/>
      <c r="J134"/>
      <c r="L134"/>
      <c r="M134"/>
      <c r="O134"/>
      <c r="P134"/>
    </row>
    <row r="135" spans="7:16" x14ac:dyDescent="0.25">
      <c r="G135"/>
      <c r="H135"/>
      <c r="J135"/>
      <c r="L135"/>
      <c r="M135"/>
      <c r="O135"/>
      <c r="P135"/>
    </row>
    <row r="136" spans="7:16" x14ac:dyDescent="0.25">
      <c r="G136"/>
      <c r="H136"/>
      <c r="J136"/>
      <c r="L136"/>
      <c r="M136"/>
      <c r="O136"/>
      <c r="P136"/>
    </row>
    <row r="137" spans="7:16" x14ac:dyDescent="0.25">
      <c r="G137"/>
      <c r="H137"/>
      <c r="J137"/>
      <c r="L137"/>
      <c r="M137"/>
      <c r="O137"/>
      <c r="P137"/>
    </row>
    <row r="138" spans="7:16" x14ac:dyDescent="0.25">
      <c r="G138"/>
      <c r="H138"/>
      <c r="J138"/>
      <c r="L138"/>
      <c r="M138"/>
      <c r="O138"/>
      <c r="P138"/>
    </row>
    <row r="139" spans="7:16" x14ac:dyDescent="0.25">
      <c r="G139"/>
      <c r="H139"/>
      <c r="J139"/>
      <c r="L139"/>
      <c r="M139"/>
      <c r="O139"/>
      <c r="P139"/>
    </row>
    <row r="140" spans="7:16" x14ac:dyDescent="0.25">
      <c r="G140"/>
      <c r="H140"/>
      <c r="J140"/>
      <c r="L140"/>
      <c r="M140"/>
      <c r="O140"/>
      <c r="P140"/>
    </row>
    <row r="141" spans="7:16" x14ac:dyDescent="0.25">
      <c r="G141"/>
      <c r="H141"/>
      <c r="J141"/>
      <c r="L141"/>
      <c r="M141"/>
      <c r="O141"/>
      <c r="P141"/>
    </row>
    <row r="142" spans="7:16" x14ac:dyDescent="0.25">
      <c r="G142"/>
      <c r="H142"/>
      <c r="J142"/>
      <c r="L142"/>
      <c r="M142"/>
      <c r="O142"/>
      <c r="P142"/>
    </row>
    <row r="143" spans="7:16" x14ac:dyDescent="0.25">
      <c r="G143"/>
      <c r="H143"/>
      <c r="J143"/>
      <c r="L143"/>
      <c r="M143"/>
      <c r="O143"/>
      <c r="P143"/>
    </row>
    <row r="144" spans="7:16" x14ac:dyDescent="0.25">
      <c r="G144"/>
      <c r="H144"/>
      <c r="J144"/>
      <c r="L144"/>
      <c r="M144"/>
      <c r="O144"/>
      <c r="P144"/>
    </row>
    <row r="145" spans="7:16" x14ac:dyDescent="0.25">
      <c r="G145"/>
      <c r="H145"/>
      <c r="J145"/>
      <c r="L145"/>
      <c r="M145"/>
      <c r="O145"/>
      <c r="P145"/>
    </row>
    <row r="146" spans="7:16" x14ac:dyDescent="0.25">
      <c r="G146"/>
      <c r="H146"/>
      <c r="J146"/>
      <c r="L146"/>
      <c r="M146"/>
      <c r="O146"/>
      <c r="P146"/>
    </row>
    <row r="147" spans="7:16" x14ac:dyDescent="0.25">
      <c r="G147"/>
      <c r="H147"/>
      <c r="J147"/>
      <c r="L147"/>
      <c r="M147"/>
      <c r="O147"/>
      <c r="P147"/>
    </row>
    <row r="148" spans="7:16" x14ac:dyDescent="0.25">
      <c r="G148"/>
      <c r="H148"/>
      <c r="J148"/>
      <c r="L148"/>
      <c r="M148"/>
      <c r="O148"/>
      <c r="P148"/>
    </row>
    <row r="149" spans="7:16" x14ac:dyDescent="0.25">
      <c r="G149"/>
      <c r="H149"/>
      <c r="J149"/>
      <c r="L149"/>
      <c r="M149"/>
      <c r="O149"/>
      <c r="P149"/>
    </row>
    <row r="150" spans="7:16" x14ac:dyDescent="0.25">
      <c r="G150"/>
      <c r="H150"/>
      <c r="J150"/>
      <c r="L150"/>
      <c r="M150"/>
      <c r="O150"/>
      <c r="P150"/>
    </row>
    <row r="151" spans="7:16" x14ac:dyDescent="0.25">
      <c r="G151"/>
      <c r="H151"/>
      <c r="J151"/>
      <c r="L151"/>
      <c r="M151"/>
      <c r="O151"/>
      <c r="P151"/>
    </row>
    <row r="152" spans="7:16" x14ac:dyDescent="0.25">
      <c r="G152"/>
      <c r="H152"/>
      <c r="J152"/>
      <c r="L152"/>
      <c r="M152"/>
      <c r="O152"/>
      <c r="P152"/>
    </row>
    <row r="153" spans="7:16" x14ac:dyDescent="0.25">
      <c r="G153"/>
      <c r="H153"/>
      <c r="J153"/>
      <c r="L153"/>
      <c r="M153"/>
      <c r="O153"/>
      <c r="P153"/>
    </row>
    <row r="154" spans="7:16" x14ac:dyDescent="0.25">
      <c r="G154"/>
      <c r="H154"/>
      <c r="J154"/>
      <c r="L154"/>
      <c r="M154"/>
      <c r="O154"/>
      <c r="P154"/>
    </row>
    <row r="155" spans="7:16" x14ac:dyDescent="0.25">
      <c r="G155"/>
      <c r="H155"/>
      <c r="J155"/>
      <c r="L155"/>
      <c r="M155"/>
      <c r="O155"/>
      <c r="P155"/>
    </row>
    <row r="156" spans="7:16" x14ac:dyDescent="0.25">
      <c r="G156"/>
      <c r="H156"/>
      <c r="J156"/>
      <c r="L156"/>
      <c r="M156"/>
      <c r="O156"/>
      <c r="P156"/>
    </row>
    <row r="157" spans="7:16" x14ac:dyDescent="0.25">
      <c r="G157"/>
      <c r="H157"/>
      <c r="J157"/>
      <c r="L157"/>
      <c r="M157"/>
      <c r="O157"/>
      <c r="P157"/>
    </row>
    <row r="158" spans="7:16" x14ac:dyDescent="0.25">
      <c r="G158"/>
      <c r="H158"/>
      <c r="J158"/>
      <c r="L158"/>
      <c r="M158"/>
      <c r="O158"/>
      <c r="P158"/>
    </row>
    <row r="159" spans="7:16" x14ac:dyDescent="0.25">
      <c r="G159"/>
      <c r="H159"/>
      <c r="J159"/>
      <c r="L159"/>
      <c r="M159"/>
      <c r="O159"/>
      <c r="P159"/>
    </row>
    <row r="160" spans="7:16" x14ac:dyDescent="0.25">
      <c r="G160"/>
      <c r="H160"/>
      <c r="J160"/>
      <c r="L160"/>
      <c r="M160"/>
      <c r="O160"/>
      <c r="P160"/>
    </row>
    <row r="161" spans="7:16" x14ac:dyDescent="0.25">
      <c r="G161"/>
      <c r="H161"/>
      <c r="J161"/>
      <c r="L161"/>
      <c r="M161"/>
      <c r="O161"/>
      <c r="P161"/>
    </row>
    <row r="162" spans="7:16" x14ac:dyDescent="0.25">
      <c r="G162"/>
      <c r="H162"/>
      <c r="J162"/>
      <c r="L162"/>
      <c r="M162"/>
      <c r="O162"/>
      <c r="P162"/>
    </row>
    <row r="163" spans="7:16" x14ac:dyDescent="0.25">
      <c r="G163"/>
      <c r="H163"/>
      <c r="J163"/>
      <c r="L163"/>
      <c r="M163"/>
      <c r="O163"/>
      <c r="P163"/>
    </row>
    <row r="164" spans="7:16" x14ac:dyDescent="0.25">
      <c r="G164"/>
      <c r="H164"/>
      <c r="J164"/>
      <c r="L164"/>
      <c r="M164"/>
      <c r="O164"/>
      <c r="P164"/>
    </row>
    <row r="165" spans="7:16" x14ac:dyDescent="0.25">
      <c r="G165"/>
      <c r="H165"/>
      <c r="J165"/>
      <c r="L165"/>
      <c r="M165"/>
      <c r="O165"/>
      <c r="P165"/>
    </row>
    <row r="166" spans="7:16" x14ac:dyDescent="0.25">
      <c r="G166"/>
      <c r="H166"/>
      <c r="J166"/>
      <c r="L166"/>
      <c r="M166"/>
      <c r="O166"/>
      <c r="P166"/>
    </row>
    <row r="167" spans="7:16" x14ac:dyDescent="0.25">
      <c r="G167"/>
      <c r="H167"/>
      <c r="J167"/>
      <c r="L167"/>
      <c r="M167"/>
      <c r="O167"/>
      <c r="P167"/>
    </row>
    <row r="168" spans="7:16" x14ac:dyDescent="0.25">
      <c r="G168"/>
      <c r="H168"/>
      <c r="J168"/>
      <c r="L168"/>
      <c r="M168"/>
      <c r="O168"/>
      <c r="P168"/>
    </row>
    <row r="169" spans="7:16" x14ac:dyDescent="0.25">
      <c r="G169"/>
      <c r="H169"/>
      <c r="J169"/>
      <c r="L169"/>
      <c r="M169"/>
      <c r="O169"/>
      <c r="P169"/>
    </row>
    <row r="170" spans="7:16" x14ac:dyDescent="0.25">
      <c r="G170"/>
      <c r="H170"/>
      <c r="J170"/>
      <c r="L170"/>
      <c r="M170"/>
      <c r="O170"/>
      <c r="P170"/>
    </row>
    <row r="171" spans="7:16" x14ac:dyDescent="0.25">
      <c r="G171"/>
      <c r="H171"/>
      <c r="J171"/>
      <c r="L171"/>
      <c r="M171"/>
      <c r="O171"/>
      <c r="P171"/>
    </row>
    <row r="172" spans="7:16" x14ac:dyDescent="0.25">
      <c r="G172"/>
      <c r="H172"/>
      <c r="J172"/>
      <c r="L172"/>
      <c r="M172"/>
      <c r="O172"/>
      <c r="P172"/>
    </row>
    <row r="173" spans="7:16" x14ac:dyDescent="0.25">
      <c r="G173"/>
      <c r="H173"/>
      <c r="J173"/>
      <c r="L173"/>
      <c r="M173"/>
      <c r="O173"/>
      <c r="P173"/>
    </row>
    <row r="174" spans="7:16" x14ac:dyDescent="0.25">
      <c r="G174"/>
      <c r="H174"/>
      <c r="J174"/>
      <c r="L174"/>
      <c r="M174"/>
      <c r="O174"/>
      <c r="P174"/>
    </row>
    <row r="175" spans="7:16" x14ac:dyDescent="0.25">
      <c r="G175"/>
      <c r="H175"/>
      <c r="J175"/>
      <c r="L175"/>
      <c r="M175"/>
      <c r="O175"/>
      <c r="P175"/>
    </row>
    <row r="176" spans="7:16" x14ac:dyDescent="0.25">
      <c r="G176"/>
      <c r="H176"/>
      <c r="J176"/>
      <c r="L176"/>
      <c r="M176"/>
      <c r="O176"/>
      <c r="P176"/>
    </row>
    <row r="177" spans="7:16" x14ac:dyDescent="0.25">
      <c r="G177"/>
      <c r="H177"/>
      <c r="J177"/>
      <c r="L177"/>
      <c r="M177"/>
      <c r="O177"/>
      <c r="P177"/>
    </row>
    <row r="178" spans="7:16" x14ac:dyDescent="0.25">
      <c r="G178"/>
      <c r="H178"/>
      <c r="J178"/>
      <c r="L178"/>
      <c r="M178"/>
      <c r="O178"/>
      <c r="P178"/>
    </row>
    <row r="179" spans="7:16" x14ac:dyDescent="0.25">
      <c r="G179"/>
      <c r="H179"/>
      <c r="J179"/>
      <c r="L179"/>
      <c r="M179"/>
      <c r="O179"/>
      <c r="P179"/>
    </row>
    <row r="180" spans="7:16" x14ac:dyDescent="0.25">
      <c r="G180"/>
      <c r="H180"/>
      <c r="J180"/>
      <c r="L180"/>
      <c r="M180"/>
      <c r="O180"/>
      <c r="P180"/>
    </row>
    <row r="181" spans="7:16" x14ac:dyDescent="0.25">
      <c r="G181"/>
      <c r="H181"/>
      <c r="J181"/>
      <c r="L181"/>
      <c r="M181"/>
      <c r="O181"/>
      <c r="P181"/>
    </row>
    <row r="182" spans="7:16" x14ac:dyDescent="0.25">
      <c r="G182"/>
      <c r="H182"/>
      <c r="J182"/>
      <c r="L182"/>
      <c r="M182"/>
      <c r="O182"/>
      <c r="P182"/>
    </row>
    <row r="183" spans="7:16" x14ac:dyDescent="0.25">
      <c r="G183"/>
      <c r="H183"/>
      <c r="J183"/>
      <c r="L183"/>
      <c r="M183"/>
      <c r="O183"/>
      <c r="P183"/>
    </row>
    <row r="184" spans="7:16" x14ac:dyDescent="0.25">
      <c r="G184"/>
      <c r="H184"/>
      <c r="J184"/>
      <c r="L184"/>
      <c r="M184"/>
      <c r="O184"/>
      <c r="P184"/>
    </row>
    <row r="185" spans="7:16" x14ac:dyDescent="0.25">
      <c r="G185"/>
      <c r="H185"/>
      <c r="J185"/>
      <c r="L185"/>
      <c r="M185"/>
      <c r="O185"/>
      <c r="P185"/>
    </row>
    <row r="186" spans="7:16" x14ac:dyDescent="0.25">
      <c r="G186"/>
      <c r="H186"/>
      <c r="J186"/>
      <c r="L186"/>
      <c r="M186"/>
      <c r="O186"/>
      <c r="P186"/>
    </row>
    <row r="187" spans="7:16" x14ac:dyDescent="0.25">
      <c r="G187"/>
      <c r="H187"/>
      <c r="J187"/>
      <c r="L187"/>
      <c r="M187"/>
      <c r="O187"/>
      <c r="P187"/>
    </row>
    <row r="188" spans="7:16" x14ac:dyDescent="0.25">
      <c r="G188"/>
      <c r="H188"/>
      <c r="J188"/>
      <c r="L188"/>
      <c r="M188"/>
      <c r="O188"/>
      <c r="P188"/>
    </row>
    <row r="189" spans="7:16" x14ac:dyDescent="0.25">
      <c r="G189"/>
      <c r="H189"/>
      <c r="J189"/>
      <c r="L189"/>
      <c r="M189"/>
      <c r="O189"/>
      <c r="P189"/>
    </row>
    <row r="190" spans="7:16" x14ac:dyDescent="0.25">
      <c r="G190"/>
      <c r="H190"/>
      <c r="J190"/>
      <c r="L190"/>
      <c r="M190"/>
      <c r="O190"/>
      <c r="P190"/>
    </row>
    <row r="191" spans="7:16" x14ac:dyDescent="0.25">
      <c r="G191"/>
      <c r="H191"/>
      <c r="J191"/>
      <c r="L191"/>
      <c r="M191"/>
      <c r="O191"/>
      <c r="P191"/>
    </row>
    <row r="192" spans="7:16" x14ac:dyDescent="0.25">
      <c r="G192"/>
      <c r="H192"/>
      <c r="J192"/>
      <c r="L192"/>
      <c r="M192"/>
      <c r="O192"/>
      <c r="P192"/>
    </row>
    <row r="193" spans="7:16" x14ac:dyDescent="0.25">
      <c r="G193"/>
      <c r="H193"/>
      <c r="J193"/>
      <c r="L193"/>
      <c r="M193"/>
      <c r="O193"/>
      <c r="P193"/>
    </row>
    <row r="194" spans="7:16" x14ac:dyDescent="0.25">
      <c r="G194"/>
      <c r="H194"/>
      <c r="J194"/>
      <c r="L194"/>
      <c r="M194"/>
      <c r="O194"/>
      <c r="P194"/>
    </row>
    <row r="195" spans="7:16" x14ac:dyDescent="0.25">
      <c r="G195"/>
      <c r="H195"/>
      <c r="J195"/>
      <c r="L195"/>
      <c r="M195"/>
      <c r="O195"/>
      <c r="P195"/>
    </row>
    <row r="196" spans="7:16" x14ac:dyDescent="0.25">
      <c r="G196"/>
      <c r="H196"/>
      <c r="J196"/>
      <c r="L196"/>
      <c r="M196"/>
      <c r="O196"/>
      <c r="P196"/>
    </row>
    <row r="197" spans="7:16" x14ac:dyDescent="0.25">
      <c r="G197"/>
      <c r="H197"/>
      <c r="J197"/>
      <c r="L197"/>
      <c r="M197"/>
      <c r="O197"/>
      <c r="P197"/>
    </row>
    <row r="198" spans="7:16" x14ac:dyDescent="0.25">
      <c r="G198"/>
      <c r="H198"/>
      <c r="J198"/>
      <c r="L198"/>
      <c r="M198"/>
      <c r="O198"/>
      <c r="P198"/>
    </row>
    <row r="199" spans="7:16" x14ac:dyDescent="0.25">
      <c r="G199"/>
      <c r="H199"/>
      <c r="J199"/>
      <c r="L199"/>
      <c r="M199"/>
      <c r="O199"/>
      <c r="P199"/>
    </row>
    <row r="200" spans="7:16" x14ac:dyDescent="0.25">
      <c r="G200"/>
      <c r="H200"/>
      <c r="J200"/>
      <c r="L200"/>
      <c r="M200"/>
      <c r="O200"/>
      <c r="P200"/>
    </row>
    <row r="201" spans="7:16" x14ac:dyDescent="0.25">
      <c r="G201"/>
      <c r="H201"/>
      <c r="J201"/>
      <c r="L201"/>
      <c r="M201"/>
      <c r="O201"/>
      <c r="P201"/>
    </row>
    <row r="202" spans="7:16" x14ac:dyDescent="0.25">
      <c r="G202"/>
      <c r="H202"/>
      <c r="J202"/>
      <c r="L202"/>
      <c r="M202"/>
      <c r="O202"/>
      <c r="P202"/>
    </row>
    <row r="203" spans="7:16" x14ac:dyDescent="0.25">
      <c r="G203"/>
      <c r="H203"/>
      <c r="J203"/>
      <c r="L203"/>
      <c r="M203"/>
      <c r="O203"/>
      <c r="P203"/>
    </row>
    <row r="204" spans="7:16" x14ac:dyDescent="0.25">
      <c r="G204"/>
      <c r="H204"/>
      <c r="J204"/>
      <c r="L204"/>
      <c r="M204"/>
      <c r="O204"/>
      <c r="P204"/>
    </row>
    <row r="205" spans="7:16" x14ac:dyDescent="0.25">
      <c r="G205"/>
      <c r="H205"/>
      <c r="J205"/>
      <c r="L205"/>
      <c r="M205"/>
      <c r="O205"/>
      <c r="P205"/>
    </row>
    <row r="206" spans="7:16" x14ac:dyDescent="0.25">
      <c r="G206"/>
      <c r="H206"/>
      <c r="J206"/>
      <c r="L206"/>
      <c r="M206"/>
      <c r="O206"/>
      <c r="P206"/>
    </row>
    <row r="207" spans="7:16" x14ac:dyDescent="0.25">
      <c r="G207"/>
      <c r="H207"/>
      <c r="J207"/>
      <c r="L207"/>
      <c r="M207"/>
      <c r="O207"/>
      <c r="P207"/>
    </row>
    <row r="208" spans="7:16" x14ac:dyDescent="0.25">
      <c r="G208"/>
      <c r="H208"/>
      <c r="J208"/>
      <c r="L208"/>
      <c r="M208"/>
      <c r="O208"/>
      <c r="P208"/>
    </row>
    <row r="209" spans="7:16" x14ac:dyDescent="0.25">
      <c r="G209"/>
      <c r="H209"/>
      <c r="J209"/>
      <c r="L209"/>
      <c r="M209"/>
      <c r="O209"/>
      <c r="P209"/>
    </row>
    <row r="210" spans="7:16" x14ac:dyDescent="0.25">
      <c r="G210"/>
      <c r="H210"/>
      <c r="J210"/>
      <c r="L210"/>
      <c r="M210"/>
      <c r="O210"/>
      <c r="P210"/>
    </row>
    <row r="211" spans="7:16" x14ac:dyDescent="0.25">
      <c r="G211"/>
      <c r="H211"/>
      <c r="J211"/>
      <c r="L211"/>
      <c r="M211"/>
      <c r="O211"/>
      <c r="P211"/>
    </row>
    <row r="212" spans="7:16" x14ac:dyDescent="0.25">
      <c r="G212"/>
      <c r="H212"/>
      <c r="J212"/>
      <c r="L212"/>
      <c r="M212"/>
      <c r="O212"/>
      <c r="P212"/>
    </row>
    <row r="213" spans="7:16" x14ac:dyDescent="0.25">
      <c r="G213"/>
      <c r="H213"/>
      <c r="J213"/>
      <c r="L213"/>
      <c r="M213"/>
      <c r="O213"/>
      <c r="P213"/>
    </row>
    <row r="214" spans="7:16" x14ac:dyDescent="0.25">
      <c r="G214"/>
      <c r="H214"/>
      <c r="J214"/>
      <c r="L214"/>
      <c r="M214"/>
      <c r="O214"/>
      <c r="P214"/>
    </row>
    <row r="215" spans="7:16" x14ac:dyDescent="0.25">
      <c r="G215"/>
      <c r="H215"/>
      <c r="J215"/>
      <c r="L215"/>
      <c r="M215"/>
      <c r="O215"/>
      <c r="P215"/>
    </row>
    <row r="216" spans="7:16" x14ac:dyDescent="0.25">
      <c r="G216"/>
      <c r="H216"/>
      <c r="J216"/>
      <c r="L216"/>
      <c r="M216"/>
      <c r="O216"/>
      <c r="P216"/>
    </row>
    <row r="217" spans="7:16" x14ac:dyDescent="0.25">
      <c r="G217"/>
      <c r="H217"/>
      <c r="J217"/>
      <c r="L217"/>
      <c r="M217"/>
      <c r="O217"/>
      <c r="P217"/>
    </row>
  </sheetData>
  <autoFilter ref="A2:AH66" xr:uid="{A6DDCAD0-59DC-4BC1-B792-42A14AB57799}"/>
  <mergeCells count="4">
    <mergeCell ref="L65:L66"/>
    <mergeCell ref="M65:N65"/>
    <mergeCell ref="M66:N66"/>
    <mergeCell ref="J65:J66"/>
  </mergeCells>
  <conditionalFormatting sqref="I66 K66">
    <cfRule type="iconSet" priority="11">
      <iconSet iconSet="4Arrows" showValue="0">
        <cfvo type="percent" val="0"/>
        <cfvo type="num" val="1"/>
        <cfvo type="num" val="2"/>
        <cfvo type="num" val="3"/>
      </iconSet>
    </cfRule>
  </conditionalFormatting>
  <conditionalFormatting sqref="L65">
    <cfRule type="expression" dxfId="41" priority="8">
      <formula>$K$66=3</formula>
    </cfRule>
    <cfRule type="expression" dxfId="40" priority="9">
      <formula>$K$66=1</formula>
    </cfRule>
    <cfRule type="expression" dxfId="39" priority="10">
      <formula>$K$66=0</formula>
    </cfRule>
  </conditionalFormatting>
  <conditionalFormatting sqref="L65 O65">
    <cfRule type="expression" dxfId="38" priority="7">
      <formula>$K$66=2</formula>
    </cfRule>
  </conditionalFormatting>
  <conditionalFormatting sqref="M65">
    <cfRule type="expression" dxfId="37" priority="5">
      <formula>$I$66=2</formula>
    </cfRule>
  </conditionalFormatting>
  <conditionalFormatting sqref="J65">
    <cfRule type="expression" dxfId="36" priority="1">
      <formula>$I$66=2</formula>
    </cfRule>
  </conditionalFormatting>
  <conditionalFormatting sqref="J65">
    <cfRule type="expression" dxfId="35" priority="2">
      <formula>$I$66=3</formula>
    </cfRule>
    <cfRule type="expression" dxfId="34" priority="3">
      <formula>$I$66=1</formula>
    </cfRule>
    <cfRule type="expression" dxfId="33" priority="4">
      <formula>$I$66=0</formula>
    </cfRule>
  </conditionalFormatting>
  <dataValidations count="1">
    <dataValidation type="list" allowBlank="1" showInputMessage="1" showErrorMessage="1" sqref="P3:P63" xr:uid="{14A4ECCE-50BE-4212-B1D3-B6854730D098}">
      <formula1>Teams</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9B2E-0F0E-4521-B35F-5E94F6510A38}">
  <dimension ref="B1:Y30"/>
  <sheetViews>
    <sheetView showGridLines="0" zoomScaleNormal="100" workbookViewId="0">
      <selection activeCell="P17" sqref="P17"/>
    </sheetView>
  </sheetViews>
  <sheetFormatPr defaultRowHeight="15" x14ac:dyDescent="0.25"/>
  <cols>
    <col min="1" max="1" width="0.85546875" customWidth="1"/>
    <col min="2" max="2" width="2.28515625" hidden="1" customWidth="1"/>
    <col min="3" max="3" width="13.42578125" customWidth="1"/>
    <col min="4" max="4" width="6.85546875" bestFit="1" customWidth="1"/>
    <col min="5" max="5" width="12.140625" bestFit="1" customWidth="1"/>
    <col min="6" max="6" width="23.85546875" customWidth="1"/>
    <col min="7" max="7" width="19.140625" customWidth="1"/>
    <col min="8" max="8" width="12.85546875" customWidth="1"/>
    <col min="9" max="9" width="10.42578125" bestFit="1" customWidth="1"/>
    <col min="10" max="12" width="11" bestFit="1" customWidth="1"/>
    <col min="13" max="13" width="12.140625" customWidth="1"/>
    <col min="14" max="14" width="8.7109375" bestFit="1" customWidth="1"/>
    <col min="15" max="15" width="7.140625" bestFit="1" customWidth="1"/>
    <col min="16" max="16" width="18.140625" customWidth="1"/>
    <col min="17" max="17" width="7.140625" bestFit="1" customWidth="1"/>
    <col min="18" max="18" width="8.28515625" bestFit="1" customWidth="1"/>
    <col min="19" max="19" width="7.140625" bestFit="1" customWidth="1"/>
    <col min="20" max="20" width="8" customWidth="1"/>
    <col min="21" max="23" width="9.85546875" customWidth="1"/>
    <col min="24" max="24" width="9.85546875" bestFit="1" customWidth="1"/>
    <col min="25" max="25" width="13.85546875" customWidth="1"/>
    <col min="26" max="26" width="6" bestFit="1" customWidth="1"/>
    <col min="27" max="27" width="4.85546875" bestFit="1" customWidth="1"/>
    <col min="28" max="28" width="10.140625" bestFit="1" customWidth="1"/>
    <col min="29" max="29" width="4.85546875" bestFit="1" customWidth="1"/>
  </cols>
  <sheetData>
    <row r="1" spans="3:25" ht="15.75" thickBot="1" x14ac:dyDescent="0.3">
      <c r="C1" s="529" t="s">
        <v>525</v>
      </c>
      <c r="D1" s="529"/>
      <c r="E1" s="7">
        <v>44671</v>
      </c>
      <c r="F1" s="69" t="s">
        <v>526</v>
      </c>
      <c r="G1" s="7">
        <f ca="1">TODAY()</f>
        <v>44657</v>
      </c>
    </row>
    <row r="2" spans="3:25" ht="21" x14ac:dyDescent="0.35">
      <c r="C2" s="530"/>
      <c r="D2" s="531"/>
      <c r="E2" s="531"/>
      <c r="F2" s="531"/>
      <c r="G2" s="531"/>
      <c r="H2" s="531"/>
      <c r="I2" s="531"/>
      <c r="J2" s="531"/>
      <c r="K2" s="531"/>
      <c r="L2" s="532"/>
      <c r="P2" s="68" t="s">
        <v>527</v>
      </c>
      <c r="Q2" s="4"/>
      <c r="R2" s="4"/>
      <c r="S2" s="4"/>
      <c r="T2" s="68" t="s">
        <v>528</v>
      </c>
      <c r="U2" s="68"/>
      <c r="V2" s="68"/>
      <c r="W2" s="68" t="s">
        <v>529</v>
      </c>
    </row>
    <row r="3" spans="3:25" x14ac:dyDescent="0.25">
      <c r="C3" s="533" t="s">
        <v>530</v>
      </c>
      <c r="D3" s="534"/>
      <c r="E3" s="534"/>
      <c r="F3" s="534"/>
      <c r="G3" s="534"/>
      <c r="H3" s="534"/>
      <c r="I3" s="534"/>
      <c r="J3" s="534"/>
      <c r="K3" s="534"/>
      <c r="L3" s="535"/>
      <c r="P3" s="209" t="s">
        <v>531</v>
      </c>
      <c r="Q3" s="209"/>
      <c r="R3" s="209"/>
      <c r="S3" s="209"/>
      <c r="T3" s="209" t="s">
        <v>532</v>
      </c>
      <c r="U3" s="209"/>
      <c r="V3" s="210">
        <v>1</v>
      </c>
      <c r="W3" s="211">
        <v>44579</v>
      </c>
    </row>
    <row r="4" spans="3:25" x14ac:dyDescent="0.25">
      <c r="C4" s="32" t="s">
        <v>533</v>
      </c>
      <c r="D4" s="12" t="s">
        <v>534</v>
      </c>
      <c r="E4" s="12" t="s">
        <v>273</v>
      </c>
      <c r="F4" s="12" t="s">
        <v>535</v>
      </c>
      <c r="G4" s="12" t="s">
        <v>536</v>
      </c>
      <c r="H4" s="12" t="s">
        <v>537</v>
      </c>
      <c r="I4" s="12" t="s">
        <v>538</v>
      </c>
      <c r="J4" s="12" t="s">
        <v>539</v>
      </c>
      <c r="K4" s="12" t="s">
        <v>540</v>
      </c>
      <c r="L4" s="33" t="s">
        <v>541</v>
      </c>
      <c r="M4" s="33" t="s">
        <v>542</v>
      </c>
      <c r="P4" s="4" t="s">
        <v>543</v>
      </c>
      <c r="Q4" s="4"/>
      <c r="R4" s="4"/>
      <c r="S4" s="4"/>
      <c r="T4" s="4" t="s">
        <v>532</v>
      </c>
      <c r="U4" s="4"/>
      <c r="V4" s="4"/>
      <c r="W4" s="62">
        <v>44581</v>
      </c>
    </row>
    <row r="5" spans="3:25" x14ac:dyDescent="0.25">
      <c r="C5" s="22">
        <f>SUMIFS('PI Commitments'!$I3:$I63,'PI Commitments'!$N3:$N63,"Commit",'PI Commitments'!$P3:$P63,"IM")</f>
        <v>0</v>
      </c>
      <c r="D5" s="11">
        <f>SUM(H5:L5)*8</f>
        <v>445.76</v>
      </c>
      <c r="E5" s="37" t="s">
        <v>285</v>
      </c>
      <c r="F5" s="13" t="s">
        <v>289</v>
      </c>
      <c r="G5" s="13" t="s">
        <v>544</v>
      </c>
      <c r="H5" s="19">
        <f>SUMIF('Resource Planning'!$D$3:$D$27,E5,'Resource Planning'!$F$3:$F$27)</f>
        <v>10.3</v>
      </c>
      <c r="I5" s="19">
        <f>SUMIF('Resource Planning'!$D$3:$D$27,E5,'Resource Planning'!$G$3:$G$27)</f>
        <v>11.4</v>
      </c>
      <c r="J5" s="19">
        <f>SUMIF('Resource Planning'!$D$3:$D$27,E5,'Resource Planning'!$H$3:$H$27)</f>
        <v>11.139999999999999</v>
      </c>
      <c r="K5" s="19">
        <f>SUMIF('Resource Planning'!$D$3:$D$27,E5,'Resource Planning'!$I$3:$I$27)</f>
        <v>11.5</v>
      </c>
      <c r="L5" s="26">
        <f>SUMIF('Resource Planning'!$D$3:$D$24,E5,'Resource Planning'!$J$3:$J$24)</f>
        <v>11.379999999999999</v>
      </c>
      <c r="M5" s="26">
        <f>SUMIF('Resource Planning'!$D$3:$D$24,E5,'Resource Planning'!$J$3:$J$24)</f>
        <v>11.379999999999999</v>
      </c>
      <c r="P5" s="4" t="s">
        <v>545</v>
      </c>
      <c r="Q5" s="4"/>
      <c r="R5" s="4"/>
      <c r="S5" s="4"/>
      <c r="T5" s="4" t="s">
        <v>546</v>
      </c>
      <c r="U5" s="4"/>
      <c r="V5" s="4"/>
      <c r="W5" s="62">
        <v>44579</v>
      </c>
    </row>
    <row r="6" spans="3:25" x14ac:dyDescent="0.25">
      <c r="C6" s="22">
        <f>SUMIFS('PI Commitments'!$I3:$I63,'PI Commitments'!$N3:$N63,"Commit",'PI Commitments'!$P3:$P63,"H")</f>
        <v>0</v>
      </c>
      <c r="D6" s="11">
        <f>SUM(H6:L6)*8</f>
        <v>391.76</v>
      </c>
      <c r="E6" s="38" t="s">
        <v>323</v>
      </c>
      <c r="F6" s="13" t="s">
        <v>326</v>
      </c>
      <c r="G6" s="13" t="s">
        <v>544</v>
      </c>
      <c r="H6" s="19">
        <f>SUMIF('Resource Planning'!$D$3:$D$27,E6,'Resource Planning'!$F$3:$F$27)</f>
        <v>9</v>
      </c>
      <c r="I6" s="19">
        <f>SUMIF('Resource Planning'!$D$3:$D$27,E6,'Resource Planning'!$G$3:$G$27)</f>
        <v>9.8999999999999986</v>
      </c>
      <c r="J6" s="19">
        <f>SUMIF('Resource Planning'!$D$3:$D$27,E6,'Resource Planning'!$H$3:$H$27)</f>
        <v>10.050000000000001</v>
      </c>
      <c r="K6" s="19">
        <f>SUMIF('Resource Planning'!$D$3:$D$27,E6,'Resource Planning'!$I$3:$I$27)</f>
        <v>9.6999999999999993</v>
      </c>
      <c r="L6" s="26">
        <f>SUMIF('Resource Planning'!$D$3:$D$27,E6,'Resource Planning'!$J$3:$J$27)</f>
        <v>10.32</v>
      </c>
      <c r="M6" s="26">
        <f>SUMIF('Resource Planning'!$D$3:$D$27,E6,'Resource Planning'!$K$3:$K$27)</f>
        <v>10.25</v>
      </c>
      <c r="P6" s="209" t="s">
        <v>547</v>
      </c>
      <c r="Q6" s="209"/>
      <c r="R6" s="209"/>
      <c r="S6" s="209"/>
      <c r="T6" s="209" t="s">
        <v>548</v>
      </c>
      <c r="U6" s="209"/>
      <c r="V6" s="209"/>
      <c r="W6" s="211">
        <v>44579</v>
      </c>
    </row>
    <row r="7" spans="3:25" x14ac:dyDescent="0.25">
      <c r="C7" s="22"/>
      <c r="D7" s="11"/>
      <c r="E7" s="39"/>
      <c r="F7" s="13"/>
      <c r="G7" s="13"/>
      <c r="H7" s="19"/>
      <c r="I7" s="19"/>
      <c r="J7" s="19"/>
      <c r="K7" s="19"/>
      <c r="L7" s="26"/>
      <c r="M7" s="26"/>
    </row>
    <row r="8" spans="3:25" ht="15.75" thickBot="1" x14ac:dyDescent="0.3">
      <c r="C8" s="22"/>
      <c r="D8" s="11"/>
      <c r="E8" s="40"/>
      <c r="F8" s="34"/>
      <c r="G8" s="13"/>
      <c r="H8" s="19"/>
      <c r="I8" s="19"/>
      <c r="J8" s="19"/>
      <c r="K8" s="19"/>
      <c r="L8" s="26"/>
      <c r="M8" s="26"/>
    </row>
    <row r="9" spans="3:25" ht="15.75" thickBot="1" x14ac:dyDescent="0.3">
      <c r="C9" s="35"/>
      <c r="D9" s="11"/>
      <c r="E9" s="46"/>
      <c r="F9" s="34"/>
      <c r="G9" s="34"/>
      <c r="H9" s="36"/>
      <c r="I9" s="19"/>
      <c r="J9" s="19"/>
      <c r="K9" s="19"/>
      <c r="L9" s="26"/>
      <c r="M9" s="26"/>
    </row>
    <row r="10" spans="3:25" ht="26.25" customHeight="1" x14ac:dyDescent="0.25">
      <c r="C10" s="22"/>
      <c r="D10" s="11"/>
      <c r="E10" s="84"/>
      <c r="F10" s="13"/>
      <c r="G10" s="89"/>
      <c r="H10" s="19"/>
      <c r="I10" s="19"/>
      <c r="J10" s="19"/>
      <c r="K10" s="19"/>
      <c r="L10" s="26"/>
      <c r="M10" s="26"/>
      <c r="Q10" s="70" t="s">
        <v>549</v>
      </c>
    </row>
    <row r="11" spans="3:25" ht="20.25" customHeight="1" thickBot="1" x14ac:dyDescent="0.3">
      <c r="C11" s="22"/>
      <c r="D11" s="11"/>
      <c r="E11" s="85"/>
      <c r="F11" s="13"/>
      <c r="G11" s="13"/>
      <c r="H11" s="19"/>
      <c r="I11" s="19"/>
      <c r="J11" s="19"/>
      <c r="K11" s="19"/>
      <c r="L11" s="26"/>
      <c r="M11" s="26"/>
      <c r="P11" t="s">
        <v>361</v>
      </c>
      <c r="Q11" t="s">
        <v>550</v>
      </c>
    </row>
    <row r="12" spans="3:25" ht="15.75" thickBot="1" x14ac:dyDescent="0.3">
      <c r="C12" s="27">
        <f>SUM(C5:C9)</f>
        <v>0</v>
      </c>
      <c r="D12" s="28">
        <f>SUM(D5:D9)</f>
        <v>837.52</v>
      </c>
      <c r="E12" s="536" t="s">
        <v>551</v>
      </c>
      <c r="F12" s="537"/>
      <c r="G12" s="538"/>
      <c r="H12" s="28">
        <f t="shared" ref="H12:M12" si="0">SUM(H5:H9)</f>
        <v>19.3</v>
      </c>
      <c r="I12" s="28">
        <f t="shared" si="0"/>
        <v>21.299999999999997</v>
      </c>
      <c r="J12" s="28">
        <f t="shared" si="0"/>
        <v>21.189999999999998</v>
      </c>
      <c r="K12" s="28">
        <f t="shared" si="0"/>
        <v>21.2</v>
      </c>
      <c r="L12" s="28">
        <f t="shared" si="0"/>
        <v>21.7</v>
      </c>
      <c r="M12" s="28">
        <f t="shared" si="0"/>
        <v>21.63</v>
      </c>
      <c r="P12" t="s">
        <v>552</v>
      </c>
      <c r="Q12" t="s">
        <v>550</v>
      </c>
    </row>
    <row r="13" spans="3:25" x14ac:dyDescent="0.25">
      <c r="C13" s="6"/>
      <c r="D13" s="31"/>
    </row>
    <row r="14" spans="3:25" ht="15.75" thickBot="1" x14ac:dyDescent="0.3"/>
    <row r="15" spans="3:25" x14ac:dyDescent="0.25">
      <c r="C15" s="8" t="s">
        <v>553</v>
      </c>
      <c r="D15" s="9" t="s">
        <v>554</v>
      </c>
      <c r="E15" s="9" t="s">
        <v>273</v>
      </c>
      <c r="F15" s="9" t="s">
        <v>555</v>
      </c>
      <c r="G15" s="9" t="s">
        <v>556</v>
      </c>
      <c r="H15" s="9" t="s">
        <v>557</v>
      </c>
      <c r="I15" s="9"/>
      <c r="J15" s="10" t="s">
        <v>558</v>
      </c>
      <c r="L15" s="20" t="s">
        <v>559</v>
      </c>
      <c r="M15" s="21" t="s">
        <v>560</v>
      </c>
      <c r="N15" s="20" t="s">
        <v>561</v>
      </c>
      <c r="O15" s="21" t="s">
        <v>562</v>
      </c>
      <c r="P15" s="20" t="s">
        <v>563</v>
      </c>
      <c r="Q15" s="21" t="s">
        <v>564</v>
      </c>
      <c r="R15" s="20" t="s">
        <v>565</v>
      </c>
      <c r="S15" s="21" t="s">
        <v>566</v>
      </c>
      <c r="T15" s="20" t="s">
        <v>567</v>
      </c>
      <c r="U15" s="21" t="s">
        <v>568</v>
      </c>
      <c r="V15" s="20" t="s">
        <v>569</v>
      </c>
      <c r="W15" s="21" t="s">
        <v>570</v>
      </c>
      <c r="X15" s="50" t="s">
        <v>571</v>
      </c>
      <c r="Y15" s="21" t="s">
        <v>572</v>
      </c>
    </row>
    <row r="16" spans="3:25" x14ac:dyDescent="0.25">
      <c r="C16" s="22">
        <f>SUMIFS('PI Commitments'!$K3:$K63,'PI Commitments'!$N3:$N63,"Commit",'PI Commitments'!$P3:$P63,"N")</f>
        <v>463</v>
      </c>
      <c r="D16" s="18">
        <f t="shared" ref="D16:D17" ca="1" si="1">SUM(M16,O16,Q16,S16,U16)</f>
        <v>445.76</v>
      </c>
      <c r="E16" s="37" t="s">
        <v>285</v>
      </c>
      <c r="F16" s="45"/>
      <c r="G16" s="45" t="s">
        <v>573</v>
      </c>
      <c r="H16" s="17" t="str">
        <f t="shared" ref="H16:H17" ca="1" si="2">IF(AND(I16&gt;0, (I16/D16) &lt;=0.1),"Good",IF(AND(I16&gt;0,(I16/D16)&gt;0.1), "Under Utilized", IF((I16/D16)&gt;= -0.05, "Good","Over Utilized")))</f>
        <v>Good</v>
      </c>
      <c r="I16" s="18">
        <f ca="1">D16-C16</f>
        <v>-17.240000000000009</v>
      </c>
      <c r="J16" s="42">
        <f ca="1">I16/D16</f>
        <v>-3.8675520459440081E-2</v>
      </c>
      <c r="K16" s="37" t="s">
        <v>285</v>
      </c>
      <c r="L16" s="24">
        <f>SUMIFS('PI Commitments'!$T$3:$T$63, 'PI Commitments'!$P$3:$P$63,"=N",'PI Commitments'!$N$3:$N$63,"=Commit")</f>
        <v>82.583333333333343</v>
      </c>
      <c r="M16" s="23">
        <f t="shared" ref="M16" si="3">IF($H$25&gt;0, (H5*(($H$25/10)*8)),0)</f>
        <v>82.4</v>
      </c>
      <c r="N16" s="24">
        <f ca="1">SUMIFS('PI Commitments'!$U$3:$U$63, 'PI Commitments'!$P$3:$P$63,"=N",'PI Commitments'!$N$3:$N$63,"=Commit")</f>
        <v>86.583333333333343</v>
      </c>
      <c r="O16" s="23">
        <f t="shared" ref="O16" ca="1" si="4">IF($H$26&gt;0, (I5*(($H$26/10)*8)),0)</f>
        <v>91.2</v>
      </c>
      <c r="P16" s="24">
        <f ca="1">SUMIFS('PI Commitments'!$V$3:$V$63, 'PI Commitments'!$P$3:$P$63,"=N",'PI Commitments'!$N$3:$N$63,"=Commit")</f>
        <v>95.083333333333329</v>
      </c>
      <c r="Q16" s="23">
        <f t="shared" ref="Q16" ca="1" si="5">IF($H$27&gt;0, (J5*(($H$27/10)*8)),0)</f>
        <v>89.11999999999999</v>
      </c>
      <c r="R16" s="24">
        <f ca="1">SUMIFS('PI Commitments'!$W$3:$W$63, 'PI Commitments'!$P$3:$P$63,"=N",'PI Commitments'!$N$3:$N$63,"=Commit")</f>
        <v>76.083333333333343</v>
      </c>
      <c r="S16" s="23">
        <f t="shared" ref="S16" ca="1" si="6">IF($H$28&gt;0, (K5*(($H$28/10)*8)),0)</f>
        <v>92</v>
      </c>
      <c r="T16" s="24">
        <f ca="1">SUMIFS('PI Commitments'!$X$3:$X$63, 'PI Commitments'!$P$3:$P$63,"=N",'PI Commitments'!$N$3:$N$63,"=Commit")</f>
        <v>74.833333333333329</v>
      </c>
      <c r="U16" s="23">
        <f t="shared" ref="U16" ca="1" si="7">IF($H$29&gt;0, (L5*(($H$29/10)*8)),0)</f>
        <v>91.039999999999992</v>
      </c>
      <c r="V16" s="24">
        <f ca="1">SUMIFS('PI Commitments'!$Y$3:$Y$63, 'PI Commitments'!$P$3:$P$63,"=N",'PI Commitments'!$N$3:$N$63,"=Commit")</f>
        <v>42.833333333333329</v>
      </c>
      <c r="W16" s="197">
        <f ca="1">IF($H$30&gt;0, (M5*(($H$30/10)*8)),0)</f>
        <v>91.039999999999992</v>
      </c>
      <c r="X16" s="51">
        <f t="shared" ref="X16:Y17" ca="1" si="8">IF(SUM(T16,R16,P16,N16,L16)-C16&gt;0,1,IF((ABS(SUM(T16,R16,P16,N16,L16)-C16)/C16)&gt;0.02,0,1))</f>
        <v>0</v>
      </c>
      <c r="Y16" s="25">
        <f t="shared" ca="1" si="8"/>
        <v>1</v>
      </c>
    </row>
    <row r="17" spans="2:25" x14ac:dyDescent="0.25">
      <c r="C17" s="22">
        <f>SUMIFS('PI Commitments'!$K3:$K63,'PI Commitments'!$N3:$N63,"Commit",'PI Commitments'!$P3:$P63,"S")</f>
        <v>421</v>
      </c>
      <c r="D17" s="18">
        <f t="shared" ca="1" si="1"/>
        <v>391.76</v>
      </c>
      <c r="E17" s="38" t="s">
        <v>323</v>
      </c>
      <c r="F17" s="45"/>
      <c r="G17" s="45" t="s">
        <v>574</v>
      </c>
      <c r="H17" s="17" t="str">
        <f t="shared" ca="1" si="2"/>
        <v>Over Utilized</v>
      </c>
      <c r="I17" s="18">
        <f t="shared" ref="I17:I23" ca="1" si="9">D17-C17</f>
        <v>-29.240000000000009</v>
      </c>
      <c r="J17" s="42">
        <f t="shared" ref="J17:J23" ca="1" si="10">I17/D17</f>
        <v>-7.4637533183581808E-2</v>
      </c>
      <c r="K17" s="38" t="s">
        <v>323</v>
      </c>
      <c r="L17" s="24">
        <f>SUMIFS('PI Commitments'!$T$3:$T$63, 'PI Commitments'!$P$3:$P$63,"=S",'PI Commitments'!$N$3:$N$63,"=Commit")</f>
        <v>56.416666666666664</v>
      </c>
      <c r="M17" s="23">
        <f>IF($H$25&gt;0, (H6*(($H$25/10)*8)),0)</f>
        <v>72</v>
      </c>
      <c r="N17" s="24">
        <f ca="1">SUMIFS('PI Commitments'!$U$3:$U$63, 'PI Commitments'!$P$3:$P$63,"=S",'PI Commitments'!$N$3:$N$63,"=Commit")</f>
        <v>76.166666666666671</v>
      </c>
      <c r="O17" s="23">
        <f ca="1">IF($H$26&gt;0, (I6*(($H$26/10)*8)),0)</f>
        <v>79.199999999999989</v>
      </c>
      <c r="P17" s="24">
        <f ca="1">SUMIFS('PI Commitments'!$V$3:$V$63, 'PI Commitments'!$P$3:$P$63,"=S",'PI Commitments'!$N$3:$N$63,"=Commit")</f>
        <v>62.166666666666664</v>
      </c>
      <c r="Q17" s="23">
        <f ca="1">IF($H$27&gt;0, (J6*(($H$27/10)*8)),0)</f>
        <v>80.400000000000006</v>
      </c>
      <c r="R17" s="24">
        <f ca="1">SUMIFS('PI Commitments'!$W$3:$W$63, 'PI Commitments'!$P$3:$P$63,"=S",'PI Commitments'!$N$3:$N$63,"=Commit")</f>
        <v>64.5</v>
      </c>
      <c r="S17" s="23">
        <f ca="1">IF($H$28&gt;0, (K6*(($H$28/10)*8)),0)</f>
        <v>77.599999999999994</v>
      </c>
      <c r="T17" s="24">
        <f ca="1">SUMIFS('PI Commitments'!$X$3:$X$63, 'PI Commitments'!$P$3:$P$63,"=S",'PI Commitments'!$N$3:$N$63,"=Commit")</f>
        <v>92.75</v>
      </c>
      <c r="U17" s="23">
        <f ca="1">IF($H$29&gt;0, (L6*(($H$29/10)*8)),0)</f>
        <v>82.56</v>
      </c>
      <c r="V17" s="24">
        <f ca="1">SUMIFS('PI Commitments'!$Y$3:$Y$63, 'PI Commitments'!$P$3:$P$63,"=S",'PI Commitments'!$N$3:$N$63,"=Commit")</f>
        <v>69</v>
      </c>
      <c r="W17" s="23">
        <f ca="1">IF($H$30&gt;0, (M6*(($H$30/10)*8)),0)</f>
        <v>82</v>
      </c>
      <c r="X17" s="51">
        <f t="shared" ca="1" si="8"/>
        <v>0</v>
      </c>
      <c r="Y17" s="25">
        <f t="shared" ca="1" si="8"/>
        <v>1</v>
      </c>
    </row>
    <row r="18" spans="2:25" x14ac:dyDescent="0.25">
      <c r="C18" s="22"/>
      <c r="D18" s="18"/>
      <c r="E18" s="39"/>
      <c r="F18" s="45"/>
      <c r="G18" s="45"/>
      <c r="H18" s="17"/>
      <c r="I18" s="18"/>
      <c r="J18" s="42"/>
      <c r="L18" s="24"/>
      <c r="M18" s="23"/>
      <c r="N18" s="24"/>
      <c r="O18" s="23"/>
      <c r="P18" s="24"/>
      <c r="Q18" s="23"/>
      <c r="R18" s="24"/>
      <c r="S18" s="23"/>
      <c r="T18" s="24"/>
      <c r="U18" s="23"/>
      <c r="V18" s="197"/>
      <c r="W18" s="197"/>
      <c r="X18" s="51"/>
      <c r="Y18" s="25"/>
    </row>
    <row r="19" spans="2:25" x14ac:dyDescent="0.25">
      <c r="C19" s="22"/>
      <c r="D19" s="18"/>
      <c r="E19" s="40"/>
      <c r="F19" s="45"/>
      <c r="G19" s="45"/>
      <c r="H19" s="17"/>
      <c r="I19" s="18"/>
      <c r="J19" s="42"/>
      <c r="L19" s="24"/>
      <c r="M19" s="23"/>
      <c r="N19" s="24"/>
      <c r="O19" s="23"/>
      <c r="P19" s="24"/>
      <c r="Q19" s="23"/>
      <c r="R19" s="24"/>
      <c r="S19" s="23"/>
      <c r="T19" s="24"/>
      <c r="U19" s="23"/>
      <c r="V19" s="197"/>
      <c r="W19" s="197"/>
      <c r="X19" s="51"/>
      <c r="Y19" s="25"/>
    </row>
    <row r="20" spans="2:25" x14ac:dyDescent="0.25">
      <c r="C20" s="22"/>
      <c r="D20" s="18"/>
      <c r="E20" s="41"/>
      <c r="F20" s="45"/>
      <c r="G20" s="45"/>
      <c r="H20" s="17"/>
      <c r="I20" s="18"/>
      <c r="J20" s="42"/>
      <c r="L20" s="24"/>
      <c r="M20" s="23"/>
      <c r="N20" s="24"/>
      <c r="O20" s="23"/>
      <c r="P20" s="24"/>
      <c r="Q20" s="23"/>
      <c r="R20" s="24"/>
      <c r="S20" s="23"/>
      <c r="T20" s="24"/>
      <c r="U20" s="23"/>
      <c r="V20" s="197"/>
      <c r="W20" s="197"/>
      <c r="X20" s="51"/>
      <c r="Y20" s="25"/>
    </row>
    <row r="21" spans="2:25" ht="52.5" customHeight="1" x14ac:dyDescent="0.25">
      <c r="C21" s="22"/>
      <c r="D21" s="18"/>
      <c r="E21" s="84"/>
      <c r="F21" s="45"/>
      <c r="G21" s="45"/>
      <c r="H21" s="17"/>
      <c r="I21" s="18"/>
      <c r="J21" s="42"/>
      <c r="L21" s="24"/>
      <c r="M21" s="23"/>
      <c r="N21" s="24"/>
      <c r="O21" s="23"/>
      <c r="P21" s="24"/>
      <c r="Q21" s="23"/>
      <c r="R21" s="24"/>
      <c r="S21" s="23"/>
      <c r="T21" s="24"/>
      <c r="U21" s="23"/>
      <c r="V21" s="197"/>
      <c r="W21" s="197"/>
      <c r="X21" s="51"/>
      <c r="Y21" s="25"/>
    </row>
    <row r="22" spans="2:25" ht="42" customHeight="1" x14ac:dyDescent="0.25">
      <c r="C22" s="22"/>
      <c r="D22" s="18"/>
      <c r="E22" s="85"/>
      <c r="F22" s="45"/>
      <c r="G22" s="45"/>
      <c r="H22" s="17"/>
      <c r="I22" s="18"/>
      <c r="J22" s="42"/>
      <c r="L22" s="24"/>
      <c r="M22" s="23"/>
      <c r="N22" s="24"/>
      <c r="O22" s="23"/>
      <c r="P22" s="24"/>
      <c r="Q22" s="23"/>
      <c r="R22" s="24"/>
      <c r="S22" s="23"/>
      <c r="T22" s="24"/>
      <c r="U22" s="23"/>
      <c r="V22" s="197"/>
      <c r="W22" s="197"/>
      <c r="X22" s="51"/>
      <c r="Y22" s="25"/>
    </row>
    <row r="23" spans="2:25" ht="15.75" thickBot="1" x14ac:dyDescent="0.3">
      <c r="C23" s="187">
        <f>SUM(C16:C20)</f>
        <v>884</v>
      </c>
      <c r="D23" s="188">
        <f ca="1">SUM(D16:D20)</f>
        <v>837.52</v>
      </c>
      <c r="E23" s="539" t="s">
        <v>551</v>
      </c>
      <c r="F23" s="539"/>
      <c r="G23" s="539"/>
      <c r="H23" s="189" t="str">
        <f ca="1">IF(AND(I23&gt;0, (I23/D23) &lt;=0.1),"Good",IF(AND(I23&gt;0,(I23/D23)&gt;0.1), "Under Utilized", IF((I23/D23)&gt;= -0.1, "Good","Over Utilized")))</f>
        <v>Good</v>
      </c>
      <c r="I23" s="43">
        <f t="shared" ca="1" si="9"/>
        <v>-46.480000000000018</v>
      </c>
      <c r="J23" s="44">
        <f t="shared" ca="1" si="10"/>
        <v>-5.5497182156844037E-2</v>
      </c>
      <c r="L23" s="28">
        <f>SUM(L16:L20)</f>
        <v>139</v>
      </c>
      <c r="M23" s="29">
        <f t="shared" ref="M23:T23" si="11">SUM(M16:M20)</f>
        <v>154.4</v>
      </c>
      <c r="N23" s="28">
        <f t="shared" ca="1" si="11"/>
        <v>162.75</v>
      </c>
      <c r="O23" s="29">
        <f t="shared" ca="1" si="11"/>
        <v>170.39999999999998</v>
      </c>
      <c r="P23" s="28">
        <f t="shared" ca="1" si="11"/>
        <v>157.25</v>
      </c>
      <c r="Q23" s="29">
        <f t="shared" ca="1" si="11"/>
        <v>169.51999999999998</v>
      </c>
      <c r="R23" s="28">
        <f t="shared" ca="1" si="11"/>
        <v>140.58333333333334</v>
      </c>
      <c r="S23" s="29">
        <f t="shared" ca="1" si="11"/>
        <v>169.6</v>
      </c>
      <c r="T23" s="28">
        <f t="shared" ca="1" si="11"/>
        <v>167.58333333333331</v>
      </c>
      <c r="U23" s="29">
        <f ca="1">SUM(U16:U20)</f>
        <v>173.6</v>
      </c>
      <c r="V23" s="52">
        <f ca="1">SUM(V16:V20)</f>
        <v>111.83333333333333</v>
      </c>
      <c r="W23" s="52">
        <f ca="1">SUM(W16:W20)</f>
        <v>173.04</v>
      </c>
      <c r="X23" s="52"/>
      <c r="Y23" s="30"/>
    </row>
    <row r="24" spans="2:25" x14ac:dyDescent="0.25">
      <c r="C24" s="528" t="s">
        <v>575</v>
      </c>
      <c r="D24" s="528"/>
      <c r="E24" s="193" t="s">
        <v>462</v>
      </c>
      <c r="F24" s="194" t="s">
        <v>576</v>
      </c>
      <c r="G24" s="194" t="s">
        <v>577</v>
      </c>
      <c r="H24" s="195" t="s">
        <v>578</v>
      </c>
      <c r="I24" s="14"/>
      <c r="J24" s="14"/>
      <c r="K24" s="5"/>
    </row>
    <row r="25" spans="2:25" x14ac:dyDescent="0.25">
      <c r="B25">
        <f ca="1">IF(AND($G$1 &gt;=F25,$G$1&lt;=G25), 1,IF($G$1 &lt; $F$25, 1, 0))</f>
        <v>1</v>
      </c>
      <c r="C25" s="527">
        <f ca="1">COUNT($E$25:$E$29) *$C$29</f>
        <v>5</v>
      </c>
      <c r="D25" s="527"/>
      <c r="E25" s="191">
        <v>1</v>
      </c>
      <c r="F25" s="192">
        <f>E1</f>
        <v>44671</v>
      </c>
      <c r="G25" s="192">
        <f t="shared" ref="G25:G30" si="12">DATE(YEAR(F25), MONTH(F25), DAY(F25) +13)</f>
        <v>44684</v>
      </c>
      <c r="H25" s="190">
        <v>10</v>
      </c>
      <c r="I25" s="15"/>
      <c r="J25" s="14"/>
      <c r="K25" s="16"/>
    </row>
    <row r="26" spans="2:25" x14ac:dyDescent="0.25">
      <c r="B26">
        <f ca="1">IF(AND($G$1 &gt;=F26,$G$1&lt;=G26), 1,0)</f>
        <v>0</v>
      </c>
      <c r="C26" s="527" t="s">
        <v>579</v>
      </c>
      <c r="D26" s="527"/>
      <c r="E26" s="191">
        <v>2</v>
      </c>
      <c r="F26" s="192">
        <f>DATE(YEAR(G25),MONTH(G25), DAY(G25) +1)</f>
        <v>44685</v>
      </c>
      <c r="G26" s="192">
        <f t="shared" si="12"/>
        <v>44698</v>
      </c>
      <c r="H26" s="190">
        <f t="shared" ref="H26:H30" ca="1" si="13">IF(AND($G$1 &gt;=F26,$G$1&lt;=G26),  IF((DATEDIF($G$1,G26,"D")+1)&gt;=11,(DATEDIF($G$1,G26,"D")+1)-4, IF((DATEDIF($G$1,G26,"D")+1)&gt;=3, (DATEDIF($G$1,G26,"D")+1)-2,(DATEDIF($G$1,G26,"D")+1))),IF($G$1&gt;G26,0,10))</f>
        <v>10</v>
      </c>
      <c r="I26" s="15"/>
      <c r="J26" s="14"/>
      <c r="K26" s="16"/>
    </row>
    <row r="27" spans="2:25" x14ac:dyDescent="0.25">
      <c r="B27">
        <f ca="1">IF(AND($G$1 &gt;=F27,$G$1&lt;=G27), 1,0)</f>
        <v>0</v>
      </c>
      <c r="C27" s="527">
        <f ca="1">SUM(H25:H29)</f>
        <v>50</v>
      </c>
      <c r="D27" s="527"/>
      <c r="E27" s="191">
        <v>3</v>
      </c>
      <c r="F27" s="192">
        <f>DATE(YEAR(G26),MONTH(G26), DAY(G26) +1)</f>
        <v>44699</v>
      </c>
      <c r="G27" s="192">
        <f t="shared" si="12"/>
        <v>44712</v>
      </c>
      <c r="H27" s="190">
        <f t="shared" ca="1" si="13"/>
        <v>10</v>
      </c>
      <c r="I27" s="15"/>
      <c r="J27" s="14"/>
      <c r="K27" s="16"/>
      <c r="L27" s="49"/>
    </row>
    <row r="28" spans="2:25" x14ac:dyDescent="0.25">
      <c r="B28">
        <f ca="1">IF(AND($G$1 &gt;=F28,$G$1&lt;=G28), 1,0)</f>
        <v>0</v>
      </c>
      <c r="C28" s="527" t="s">
        <v>580</v>
      </c>
      <c r="D28" s="527"/>
      <c r="E28" s="191">
        <v>4</v>
      </c>
      <c r="F28" s="192">
        <f>DATE(YEAR(G27),MONTH(G27), DAY(G27) +1)</f>
        <v>44713</v>
      </c>
      <c r="G28" s="192">
        <f t="shared" si="12"/>
        <v>44726</v>
      </c>
      <c r="H28" s="190">
        <f t="shared" ca="1" si="13"/>
        <v>10</v>
      </c>
      <c r="I28" s="15"/>
      <c r="J28" s="14"/>
      <c r="K28" s="16"/>
    </row>
    <row r="29" spans="2:25" x14ac:dyDescent="0.25">
      <c r="B29">
        <f ca="1">IF(AND($G$1 &gt;=F29,$G$1&lt;=G29), 1,0)</f>
        <v>0</v>
      </c>
      <c r="C29" s="526">
        <f ca="1">C27/(COUNT(E25:E29) *10)</f>
        <v>1</v>
      </c>
      <c r="D29" s="526"/>
      <c r="E29" s="191">
        <v>5</v>
      </c>
      <c r="F29" s="192">
        <f>DATE(YEAR(G28),MONTH(G28), DAY(G28) +1)</f>
        <v>44727</v>
      </c>
      <c r="G29" s="192">
        <f t="shared" si="12"/>
        <v>44740</v>
      </c>
      <c r="H29" s="190">
        <f t="shared" ca="1" si="13"/>
        <v>10</v>
      </c>
      <c r="I29" s="15"/>
      <c r="J29" s="14"/>
      <c r="K29" s="16"/>
    </row>
    <row r="30" spans="2:25" x14ac:dyDescent="0.25">
      <c r="C30" s="526"/>
      <c r="D30" s="526"/>
      <c r="E30" s="191">
        <v>6</v>
      </c>
      <c r="F30" s="192">
        <f>DATE(YEAR(G29),MONTH(G29), DAY(G29) +1)</f>
        <v>44741</v>
      </c>
      <c r="G30" s="192">
        <f t="shared" si="12"/>
        <v>44754</v>
      </c>
      <c r="H30" s="190">
        <f t="shared" ca="1" si="13"/>
        <v>10</v>
      </c>
    </row>
  </sheetData>
  <mergeCells count="12">
    <mergeCell ref="C24:D24"/>
    <mergeCell ref="C26:D26"/>
    <mergeCell ref="C1:D1"/>
    <mergeCell ref="C2:L2"/>
    <mergeCell ref="C3:L3"/>
    <mergeCell ref="E12:G12"/>
    <mergeCell ref="E23:G23"/>
    <mergeCell ref="C30:D30"/>
    <mergeCell ref="C28:D28"/>
    <mergeCell ref="C25:D25"/>
    <mergeCell ref="C27:D27"/>
    <mergeCell ref="C29:D29"/>
  </mergeCells>
  <phoneticPr fontId="32" type="noConversion"/>
  <conditionalFormatting sqref="M17:M20">
    <cfRule type="expression" dxfId="32" priority="36">
      <formula>M17&gt;=L17</formula>
    </cfRule>
  </conditionalFormatting>
  <conditionalFormatting sqref="M16:M20 O16:O20 Q16:Q20 S16:S20 U18:V22 U16:U17">
    <cfRule type="expression" dxfId="31" priority="35">
      <formula>ROUNDUP(M16,0)&lt;INT(L16)</formula>
    </cfRule>
    <cfRule type="expression" dxfId="30" priority="37">
      <formula>ROUNDUP(M16,0)&gt;=INT(L16)</formula>
    </cfRule>
  </conditionalFormatting>
  <conditionalFormatting sqref="E26 I5:I9">
    <cfRule type="expression" dxfId="29" priority="33">
      <formula>$B$26=1</formula>
    </cfRule>
  </conditionalFormatting>
  <conditionalFormatting sqref="E28 K5:K9">
    <cfRule type="expression" dxfId="28" priority="31">
      <formula>$B$28=1</formula>
    </cfRule>
  </conditionalFormatting>
  <conditionalFormatting sqref="L5:L9 E29:E30 M5:M11">
    <cfRule type="expression" dxfId="27" priority="30">
      <formula>$B$29=1</formula>
    </cfRule>
  </conditionalFormatting>
  <conditionalFormatting sqref="E25 H5:H9">
    <cfRule type="expression" dxfId="26" priority="28">
      <formula>$B$25=1</formula>
    </cfRule>
  </conditionalFormatting>
  <conditionalFormatting sqref="E27 J5:J9">
    <cfRule type="expression" dxfId="25" priority="27">
      <formula>$B$27=1</formula>
    </cfRule>
  </conditionalFormatting>
  <conditionalFormatting sqref="I12 I4">
    <cfRule type="expression" dxfId="24" priority="26">
      <formula>$B$26=1</formula>
    </cfRule>
  </conditionalFormatting>
  <conditionalFormatting sqref="H4 H12">
    <cfRule type="expression" dxfId="23" priority="25">
      <formula>$B$25=1</formula>
    </cfRule>
  </conditionalFormatting>
  <conditionalFormatting sqref="J4 J12">
    <cfRule type="expression" dxfId="22" priority="24">
      <formula>$B$27=1</formula>
    </cfRule>
  </conditionalFormatting>
  <conditionalFormatting sqref="K4 K12">
    <cfRule type="expression" dxfId="21" priority="23">
      <formula>$B$28=1</formula>
    </cfRule>
  </conditionalFormatting>
  <conditionalFormatting sqref="L4:M4 L12:M12">
    <cfRule type="expression" dxfId="20" priority="22">
      <formula>$B$29=1</formula>
    </cfRule>
  </conditionalFormatting>
  <conditionalFormatting sqref="I10">
    <cfRule type="expression" dxfId="19" priority="21">
      <formula>$B$26=1</formula>
    </cfRule>
  </conditionalFormatting>
  <conditionalFormatting sqref="K10">
    <cfRule type="expression" dxfId="18" priority="20">
      <formula>$B$28=1</formula>
    </cfRule>
  </conditionalFormatting>
  <conditionalFormatting sqref="L10">
    <cfRule type="expression" dxfId="17" priority="19">
      <formula>$B$29=1</formula>
    </cfRule>
  </conditionalFormatting>
  <conditionalFormatting sqref="H10">
    <cfRule type="expression" dxfId="16" priority="18">
      <formula>$B$25=1</formula>
    </cfRule>
  </conditionalFormatting>
  <conditionalFormatting sqref="J10">
    <cfRule type="expression" dxfId="15" priority="17">
      <formula>$B$27=1</formula>
    </cfRule>
  </conditionalFormatting>
  <conditionalFormatting sqref="M21">
    <cfRule type="expression" dxfId="14" priority="15">
      <formula>M21&gt;=L21</formula>
    </cfRule>
  </conditionalFormatting>
  <conditionalFormatting sqref="M21 O21 Q21 S21">
    <cfRule type="expression" dxfId="13" priority="14">
      <formula>ROUNDUP(M21,0)&lt;INT(L21)</formula>
    </cfRule>
    <cfRule type="expression" dxfId="12" priority="16">
      <formula>ROUNDUP(M21,0)&gt;=INT(L21)</formula>
    </cfRule>
  </conditionalFormatting>
  <conditionalFormatting sqref="I11">
    <cfRule type="expression" dxfId="11" priority="12">
      <formula>$B$26=1</formula>
    </cfRule>
  </conditionalFormatting>
  <conditionalFormatting sqref="K11">
    <cfRule type="expression" dxfId="10" priority="11">
      <formula>$B$28=1</formula>
    </cfRule>
  </conditionalFormatting>
  <conditionalFormatting sqref="L11">
    <cfRule type="expression" dxfId="9" priority="10">
      <formula>$B$29=1</formula>
    </cfRule>
  </conditionalFormatting>
  <conditionalFormatting sqref="H11">
    <cfRule type="expression" dxfId="8" priority="9">
      <formula>$B$25=1</formula>
    </cfRule>
  </conditionalFormatting>
  <conditionalFormatting sqref="J11">
    <cfRule type="expression" dxfId="7" priority="8">
      <formula>$B$27=1</formula>
    </cfRule>
  </conditionalFormatting>
  <conditionalFormatting sqref="M22">
    <cfRule type="expression" dxfId="6" priority="5">
      <formula>M22&gt;=L22</formula>
    </cfRule>
  </conditionalFormatting>
  <conditionalFormatting sqref="M22 O22 Q22 S22">
    <cfRule type="expression" dxfId="5" priority="4">
      <formula>ROUNDUP(M22,0)&lt;INT(L22)</formula>
    </cfRule>
    <cfRule type="expression" dxfId="4" priority="6">
      <formula>ROUNDUP(M22,0)&gt;=INT(L22)</formula>
    </cfRule>
  </conditionalFormatting>
  <conditionalFormatting sqref="W16 W18:W22">
    <cfRule type="expression" dxfId="3" priority="140">
      <formula>ROUNDUP(W16,0)&lt;INT(U16)</formula>
    </cfRule>
    <cfRule type="expression" dxfId="2" priority="141">
      <formula>ROUNDUP(W16,0)&gt;=INT(U16)</formula>
    </cfRule>
  </conditionalFormatting>
  <conditionalFormatting sqref="W17">
    <cfRule type="expression" dxfId="1" priority="1">
      <formula>ROUNDUP(W17,0)&lt;INT(V17)</formula>
    </cfRule>
    <cfRule type="expression" dxfId="0" priority="2">
      <formula>ROUNDUP(W17,0)&gt;=INT(V17)</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9" id="{694ABE59-0773-4C5D-8AF7-2AB3DC754AB4}">
            <x14:iconSet iconSet="3Symbols2" showValue="0" custom="1">
              <x14:cfvo type="percent">
                <xm:f>0</xm:f>
              </x14:cfvo>
              <x14:cfvo type="num">
                <xm:f>0</xm:f>
              </x14:cfvo>
              <x14:cfvo type="num">
                <xm:f>1</xm:f>
              </x14:cfvo>
              <x14:cfIcon iconSet="NoIcons" iconId="0"/>
              <x14:cfIcon iconSet="3Symbols2" iconId="0"/>
              <x14:cfIcon iconSet="3Symbols2" iconId="2"/>
            </x14:iconSet>
          </x14:cfRule>
          <xm:sqref>Y21 X16:Y20</xm:sqref>
        </x14:conditionalFormatting>
        <x14:conditionalFormatting xmlns:xm="http://schemas.microsoft.com/office/excel/2006/main">
          <x14:cfRule type="iconSet" priority="13" id="{7B8C226A-3CDE-451B-91E4-991FD0038469}">
            <x14:iconSet iconSet="3Symbols2" showValue="0" custom="1">
              <x14:cfvo type="percent">
                <xm:f>0</xm:f>
              </x14:cfvo>
              <x14:cfvo type="num">
                <xm:f>0</xm:f>
              </x14:cfvo>
              <x14:cfvo type="num">
                <xm:f>1</xm:f>
              </x14:cfvo>
              <x14:cfIcon iconSet="NoIcons" iconId="0"/>
              <x14:cfIcon iconSet="3Symbols2" iconId="0"/>
              <x14:cfIcon iconSet="3Symbols2" iconId="2"/>
            </x14:iconSet>
          </x14:cfRule>
          <xm:sqref>X21</xm:sqref>
        </x14:conditionalFormatting>
        <x14:conditionalFormatting xmlns:xm="http://schemas.microsoft.com/office/excel/2006/main">
          <x14:cfRule type="iconSet" priority="7" id="{F52A41E5-4470-4F02-AA50-EA4ADF1C4426}">
            <x14:iconSet iconSet="3Symbols2" showValue="0" custom="1">
              <x14:cfvo type="percent">
                <xm:f>0</xm:f>
              </x14:cfvo>
              <x14:cfvo type="num">
                <xm:f>0</xm:f>
              </x14:cfvo>
              <x14:cfvo type="num">
                <xm:f>1</xm:f>
              </x14:cfvo>
              <x14:cfIcon iconSet="NoIcons" iconId="0"/>
              <x14:cfIcon iconSet="3Symbols2" iconId="0"/>
              <x14:cfIcon iconSet="3Symbols2" iconId="2"/>
            </x14:iconSet>
          </x14:cfRule>
          <xm:sqref>Y22</xm:sqref>
        </x14:conditionalFormatting>
        <x14:conditionalFormatting xmlns:xm="http://schemas.microsoft.com/office/excel/2006/main">
          <x14:cfRule type="iconSet" priority="3" id="{928C496A-813B-4604-B43D-5F08D7F32E2D}">
            <x14:iconSet iconSet="3Symbols2" showValue="0" custom="1">
              <x14:cfvo type="percent">
                <xm:f>0</xm:f>
              </x14:cfvo>
              <x14:cfvo type="num">
                <xm:f>0</xm:f>
              </x14:cfvo>
              <x14:cfvo type="num">
                <xm:f>1</xm:f>
              </x14:cfvo>
              <x14:cfIcon iconSet="NoIcons" iconId="0"/>
              <x14:cfIcon iconSet="3Symbols2" iconId="0"/>
              <x14:cfIcon iconSet="3Symbols2" iconId="2"/>
            </x14:iconSet>
          </x14:cfRule>
          <xm:sqref>X22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8952-2DC1-407B-806E-A6D6A290DE19}">
  <dimension ref="A1"/>
  <sheetViews>
    <sheetView workbookViewId="0"/>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AF707-2662-45EC-8B25-B533F45DA4AD}">
  <dimension ref="B1:G49"/>
  <sheetViews>
    <sheetView topLeftCell="A11" zoomScaleNormal="100" workbookViewId="0">
      <selection activeCell="C41" sqref="C41"/>
    </sheetView>
  </sheetViews>
  <sheetFormatPr defaultRowHeight="15" x14ac:dyDescent="0.25"/>
  <cols>
    <col min="2" max="2" width="9.140625" bestFit="1" customWidth="1"/>
    <col min="3" max="3" width="80.140625" bestFit="1" customWidth="1"/>
    <col min="4" max="4" width="49.140625" bestFit="1" customWidth="1"/>
    <col min="5" max="5" width="20.85546875" customWidth="1"/>
  </cols>
  <sheetData>
    <row r="1" spans="2:6" x14ac:dyDescent="0.25">
      <c r="B1" s="540" t="s">
        <v>581</v>
      </c>
      <c r="C1" s="540"/>
      <c r="D1" s="540"/>
    </row>
    <row r="2" spans="2:6" x14ac:dyDescent="0.25">
      <c r="F2" s="199"/>
    </row>
    <row r="3" spans="2:6" x14ac:dyDescent="0.25">
      <c r="B3" s="61" t="s">
        <v>582</v>
      </c>
      <c r="C3" s="61" t="s">
        <v>583</v>
      </c>
      <c r="D3" s="61" t="s">
        <v>584</v>
      </c>
    </row>
    <row r="4" spans="2:6" x14ac:dyDescent="0.25">
      <c r="B4" s="4">
        <v>1</v>
      </c>
      <c r="C4" s="59" t="s">
        <v>585</v>
      </c>
      <c r="D4" s="59"/>
    </row>
    <row r="5" spans="2:6" x14ac:dyDescent="0.25">
      <c r="B5" s="4">
        <v>2</v>
      </c>
      <c r="C5" s="59" t="s">
        <v>586</v>
      </c>
      <c r="D5" s="4" t="s">
        <v>587</v>
      </c>
    </row>
    <row r="6" spans="2:6" x14ac:dyDescent="0.25">
      <c r="B6" s="4">
        <v>3</v>
      </c>
      <c r="C6" s="59" t="s">
        <v>588</v>
      </c>
      <c r="D6" s="59" t="s">
        <v>589</v>
      </c>
    </row>
    <row r="7" spans="2:6" x14ac:dyDescent="0.25">
      <c r="B7" s="4">
        <v>4</v>
      </c>
      <c r="C7" s="59" t="s">
        <v>590</v>
      </c>
      <c r="D7" s="4" t="s">
        <v>587</v>
      </c>
    </row>
    <row r="8" spans="2:6" x14ac:dyDescent="0.25">
      <c r="B8" s="4">
        <v>5</v>
      </c>
      <c r="C8" s="59" t="s">
        <v>591</v>
      </c>
      <c r="D8" s="4" t="s">
        <v>592</v>
      </c>
    </row>
    <row r="9" spans="2:6" ht="30" x14ac:dyDescent="0.25">
      <c r="B9" s="4">
        <v>6</v>
      </c>
      <c r="C9" s="59" t="s">
        <v>593</v>
      </c>
      <c r="D9" s="4" t="s">
        <v>594</v>
      </c>
    </row>
    <row r="10" spans="2:6" x14ac:dyDescent="0.25">
      <c r="B10" s="4"/>
      <c r="C10" s="4"/>
      <c r="D10" s="4"/>
    </row>
    <row r="11" spans="2:6" x14ac:dyDescent="0.25">
      <c r="B11" s="4"/>
      <c r="C11" s="4"/>
      <c r="D11" s="59"/>
    </row>
    <row r="12" spans="2:6" x14ac:dyDescent="0.25">
      <c r="B12" s="4"/>
      <c r="C12" s="59"/>
      <c r="D12" s="59"/>
    </row>
    <row r="13" spans="2:6" x14ac:dyDescent="0.25">
      <c r="B13" s="59"/>
      <c r="C13" s="59"/>
      <c r="D13" s="59"/>
    </row>
    <row r="14" spans="2:6" x14ac:dyDescent="0.25">
      <c r="B14" s="59"/>
      <c r="C14" s="59"/>
      <c r="D14" s="59"/>
    </row>
    <row r="15" spans="2:6" x14ac:dyDescent="0.25">
      <c r="B15" s="59"/>
      <c r="C15" s="59"/>
      <c r="D15" s="59"/>
    </row>
    <row r="16" spans="2:6" x14ac:dyDescent="0.25">
      <c r="B16" s="59"/>
      <c r="C16" s="59"/>
      <c r="D16" s="59"/>
    </row>
    <row r="17" spans="2:4" x14ac:dyDescent="0.25">
      <c r="B17" s="59"/>
      <c r="C17" s="59"/>
      <c r="D17" s="59"/>
    </row>
    <row r="19" spans="2:4" x14ac:dyDescent="0.25">
      <c r="B19" s="541" t="s">
        <v>595</v>
      </c>
      <c r="C19" s="541"/>
      <c r="D19" s="541"/>
    </row>
    <row r="21" spans="2:4" x14ac:dyDescent="0.25">
      <c r="B21" s="61" t="s">
        <v>582</v>
      </c>
      <c r="C21" s="61" t="s">
        <v>595</v>
      </c>
      <c r="D21" s="61" t="s">
        <v>584</v>
      </c>
    </row>
    <row r="22" spans="2:4" ht="45" x14ac:dyDescent="0.25">
      <c r="B22" s="4">
        <v>1</v>
      </c>
      <c r="C22" s="208" t="s">
        <v>596</v>
      </c>
      <c r="D22" s="200"/>
    </row>
    <row r="23" spans="2:4" x14ac:dyDescent="0.25">
      <c r="B23" s="4">
        <v>2</v>
      </c>
      <c r="C23" s="208" t="s">
        <v>597</v>
      </c>
      <c r="D23" s="4"/>
    </row>
    <row r="24" spans="2:4" x14ac:dyDescent="0.25">
      <c r="B24" s="4">
        <v>3</v>
      </c>
      <c r="C24" s="59"/>
      <c r="D24" s="4"/>
    </row>
    <row r="25" spans="2:4" x14ac:dyDescent="0.25">
      <c r="B25" s="4"/>
      <c r="C25" s="59"/>
      <c r="D25" s="4"/>
    </row>
    <row r="26" spans="2:4" x14ac:dyDescent="0.25">
      <c r="B26" s="4"/>
      <c r="C26" s="59"/>
      <c r="D26" s="4"/>
    </row>
    <row r="27" spans="2:4" x14ac:dyDescent="0.25">
      <c r="B27" s="4"/>
      <c r="C27" s="59"/>
      <c r="D27" s="4"/>
    </row>
    <row r="28" spans="2:4" x14ac:dyDescent="0.25">
      <c r="B28" s="4"/>
      <c r="C28" s="59"/>
      <c r="D28" s="4"/>
    </row>
    <row r="29" spans="2:4" x14ac:dyDescent="0.25">
      <c r="B29" s="4"/>
      <c r="C29" s="59"/>
      <c r="D29" s="59"/>
    </row>
    <row r="30" spans="2:4" x14ac:dyDescent="0.25">
      <c r="B30" s="4"/>
      <c r="C30" s="4"/>
      <c r="D30" s="200"/>
    </row>
    <row r="32" spans="2:4" x14ac:dyDescent="0.25">
      <c r="C32" s="199"/>
    </row>
    <row r="33" spans="2:7" ht="24.75" x14ac:dyDescent="0.25">
      <c r="D33" s="201" t="s">
        <v>598</v>
      </c>
    </row>
    <row r="34" spans="2:7" x14ac:dyDescent="0.25">
      <c r="B34" s="61" t="s">
        <v>582</v>
      </c>
      <c r="C34" s="61" t="s">
        <v>599</v>
      </c>
      <c r="D34" s="61" t="s">
        <v>600</v>
      </c>
      <c r="E34" s="61" t="s">
        <v>601</v>
      </c>
      <c r="F34" s="61" t="s">
        <v>602</v>
      </c>
      <c r="G34" t="s">
        <v>603</v>
      </c>
    </row>
    <row r="35" spans="2:7" ht="39" x14ac:dyDescent="0.25">
      <c r="B35" s="202">
        <v>1</v>
      </c>
      <c r="C35" s="203" t="s">
        <v>604</v>
      </c>
      <c r="D35" s="204" t="s">
        <v>605</v>
      </c>
      <c r="E35" s="4" t="s">
        <v>606</v>
      </c>
      <c r="F35" s="4">
        <v>7</v>
      </c>
    </row>
    <row r="36" spans="2:7" ht="39" x14ac:dyDescent="0.25">
      <c r="B36" s="202">
        <v>2</v>
      </c>
      <c r="C36" s="203" t="s">
        <v>607</v>
      </c>
      <c r="D36" s="204" t="s">
        <v>608</v>
      </c>
      <c r="E36" s="4" t="s">
        <v>609</v>
      </c>
      <c r="F36" s="4">
        <v>9</v>
      </c>
    </row>
    <row r="37" spans="2:7" ht="102.75" x14ac:dyDescent="0.25">
      <c r="B37" s="202">
        <v>3</v>
      </c>
      <c r="C37" s="203" t="s">
        <v>610</v>
      </c>
      <c r="D37" s="204" t="s">
        <v>611</v>
      </c>
      <c r="E37" s="4" t="s">
        <v>609</v>
      </c>
      <c r="F37" s="4">
        <v>9</v>
      </c>
    </row>
    <row r="38" spans="2:7" ht="39" x14ac:dyDescent="0.25">
      <c r="B38" s="202">
        <v>4</v>
      </c>
      <c r="C38" s="203" t="s">
        <v>612</v>
      </c>
      <c r="D38" s="204" t="s">
        <v>613</v>
      </c>
      <c r="E38" s="4" t="s">
        <v>614</v>
      </c>
      <c r="F38" s="4">
        <v>7</v>
      </c>
    </row>
    <row r="39" spans="2:7" ht="39" x14ac:dyDescent="0.25">
      <c r="B39" s="202">
        <v>5</v>
      </c>
      <c r="C39" s="203" t="s">
        <v>615</v>
      </c>
      <c r="D39" s="204" t="s">
        <v>616</v>
      </c>
      <c r="E39" s="4" t="s">
        <v>606</v>
      </c>
      <c r="F39" s="4">
        <v>8</v>
      </c>
    </row>
    <row r="40" spans="2:7" ht="39" x14ac:dyDescent="0.25">
      <c r="B40" s="202">
        <v>6</v>
      </c>
      <c r="C40" s="203" t="s">
        <v>617</v>
      </c>
      <c r="D40" s="204" t="s">
        <v>618</v>
      </c>
      <c r="E40" s="4" t="s">
        <v>606</v>
      </c>
      <c r="F40" s="4">
        <v>8</v>
      </c>
    </row>
    <row r="41" spans="2:7" ht="39" x14ac:dyDescent="0.25">
      <c r="B41" s="202">
        <v>7</v>
      </c>
      <c r="C41" s="203" t="s">
        <v>619</v>
      </c>
      <c r="D41" s="204" t="s">
        <v>618</v>
      </c>
      <c r="E41" s="4" t="s">
        <v>606</v>
      </c>
      <c r="F41" s="4">
        <v>8</v>
      </c>
    </row>
    <row r="42" spans="2:7" ht="51.75" x14ac:dyDescent="0.25">
      <c r="B42" s="202">
        <v>8</v>
      </c>
      <c r="C42" s="203" t="s">
        <v>620</v>
      </c>
      <c r="D42" s="204" t="s">
        <v>621</v>
      </c>
      <c r="E42" s="4" t="s">
        <v>606</v>
      </c>
      <c r="F42" s="4">
        <v>7</v>
      </c>
    </row>
    <row r="43" spans="2:7" ht="51.75" x14ac:dyDescent="0.25">
      <c r="B43" s="202">
        <v>9</v>
      </c>
      <c r="C43" s="203" t="s">
        <v>622</v>
      </c>
      <c r="D43" s="204" t="s">
        <v>623</v>
      </c>
      <c r="E43" s="4" t="s">
        <v>606</v>
      </c>
      <c r="F43" s="4">
        <v>6</v>
      </c>
    </row>
    <row r="44" spans="2:7" ht="51.75" x14ac:dyDescent="0.25">
      <c r="B44" s="202">
        <v>10</v>
      </c>
      <c r="C44" s="203" t="s">
        <v>624</v>
      </c>
      <c r="D44" s="204" t="s">
        <v>625</v>
      </c>
      <c r="E44" s="4" t="s">
        <v>606</v>
      </c>
      <c r="F44" s="4">
        <v>6</v>
      </c>
    </row>
    <row r="45" spans="2:7" ht="39" x14ac:dyDescent="0.25">
      <c r="B45" s="202">
        <v>11</v>
      </c>
      <c r="C45" s="203" t="s">
        <v>626</v>
      </c>
      <c r="D45" s="204" t="s">
        <v>618</v>
      </c>
      <c r="E45" s="4" t="s">
        <v>606</v>
      </c>
      <c r="F45" s="4">
        <v>5</v>
      </c>
    </row>
    <row r="46" spans="2:7" x14ac:dyDescent="0.25">
      <c r="B46" s="202"/>
      <c r="C46" s="4"/>
      <c r="D46" s="203"/>
      <c r="E46" s="4"/>
      <c r="F46" s="4"/>
    </row>
    <row r="47" spans="2:7" x14ac:dyDescent="0.25">
      <c r="B47" s="202"/>
      <c r="C47" s="4"/>
      <c r="D47" s="203"/>
      <c r="E47" s="4"/>
      <c r="F47" s="4"/>
    </row>
    <row r="48" spans="2:7" x14ac:dyDescent="0.25">
      <c r="B48" s="202"/>
      <c r="C48" s="203"/>
      <c r="D48" s="203"/>
      <c r="E48" s="4"/>
      <c r="F48" s="4"/>
    </row>
    <row r="49" spans="2:6" x14ac:dyDescent="0.25">
      <c r="B49" s="202"/>
      <c r="C49" s="203"/>
      <c r="D49" s="203"/>
      <c r="E49" s="4"/>
      <c r="F49" s="4"/>
    </row>
  </sheetData>
  <mergeCells count="2">
    <mergeCell ref="B1:D1"/>
    <mergeCell ref="B19:D1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1F5A-5C56-48A2-80D5-20A50E40BDA8}">
  <dimension ref="A1:G275"/>
  <sheetViews>
    <sheetView zoomScale="115" zoomScaleNormal="115" workbookViewId="0">
      <selection activeCell="AA33" sqref="AA33"/>
    </sheetView>
  </sheetViews>
  <sheetFormatPr defaultRowHeight="15" x14ac:dyDescent="0.25"/>
  <cols>
    <col min="1" max="1" width="14.5703125" style="58" bestFit="1" customWidth="1"/>
    <col min="2" max="2" width="3" bestFit="1" customWidth="1"/>
    <col min="3" max="3" width="3.42578125" bestFit="1" customWidth="1"/>
    <col min="4" max="4" width="7.28515625" bestFit="1" customWidth="1"/>
    <col min="5" max="5" width="11.28515625" bestFit="1" customWidth="1"/>
    <col min="6" max="6" width="3" bestFit="1" customWidth="1"/>
    <col min="7" max="7" width="7.28515625" hidden="1" customWidth="1"/>
    <col min="8" max="8" width="3" bestFit="1" customWidth="1"/>
    <col min="9" max="10" width="11.28515625" bestFit="1" customWidth="1"/>
    <col min="11" max="11" width="3" bestFit="1" customWidth="1"/>
    <col min="12" max="12" width="11.28515625" bestFit="1" customWidth="1"/>
    <col min="13" max="17" width="7" bestFit="1" customWidth="1"/>
    <col min="18" max="18" width="6.85546875" bestFit="1" customWidth="1"/>
    <col min="19" max="20" width="7" bestFit="1" customWidth="1"/>
    <col min="21" max="21" width="6.85546875" bestFit="1" customWidth="1"/>
    <col min="22" max="27" width="7" bestFit="1" customWidth="1"/>
    <col min="28" max="28" width="6.85546875" bestFit="1" customWidth="1"/>
    <col min="29" max="42" width="7" bestFit="1" customWidth="1"/>
    <col min="43" max="43" width="6.85546875" bestFit="1" customWidth="1"/>
    <col min="44" max="78" width="7" bestFit="1" customWidth="1"/>
    <col min="79" max="79" width="6.85546875" bestFit="1" customWidth="1"/>
    <col min="80" max="94" width="7" bestFit="1" customWidth="1"/>
    <col min="95" max="95" width="6.85546875" bestFit="1" customWidth="1"/>
    <col min="96" max="100" width="7" bestFit="1" customWidth="1"/>
    <col min="101" max="101" width="6.85546875" bestFit="1" customWidth="1"/>
    <col min="102" max="102" width="7" bestFit="1" customWidth="1"/>
    <col min="103" max="103" width="7.85546875" bestFit="1" customWidth="1"/>
    <col min="104" max="104" width="11.28515625" bestFit="1" customWidth="1"/>
  </cols>
  <sheetData>
    <row r="1" spans="1:5" x14ac:dyDescent="0.25">
      <c r="A1" s="77" t="s">
        <v>627</v>
      </c>
      <c r="B1" s="77" t="s">
        <v>442</v>
      </c>
    </row>
    <row r="2" spans="1:5" x14ac:dyDescent="0.25">
      <c r="A2" s="77" t="s">
        <v>495</v>
      </c>
      <c r="B2" t="s">
        <v>522</v>
      </c>
      <c r="C2" t="s">
        <v>523</v>
      </c>
      <c r="D2" t="s">
        <v>458</v>
      </c>
      <c r="E2" t="s">
        <v>459</v>
      </c>
    </row>
    <row r="3" spans="1:5" x14ac:dyDescent="0.25">
      <c r="A3" s="78" t="s">
        <v>360</v>
      </c>
      <c r="B3">
        <v>2</v>
      </c>
      <c r="C3">
        <v>3</v>
      </c>
      <c r="E3">
        <v>5</v>
      </c>
    </row>
    <row r="4" spans="1:5" x14ac:dyDescent="0.25">
      <c r="A4" s="78" t="s">
        <v>628</v>
      </c>
      <c r="B4">
        <v>1</v>
      </c>
      <c r="E4">
        <v>1</v>
      </c>
    </row>
    <row r="5" spans="1:5" x14ac:dyDescent="0.25">
      <c r="A5" s="78" t="s">
        <v>629</v>
      </c>
      <c r="B5">
        <v>6</v>
      </c>
      <c r="E5">
        <v>6</v>
      </c>
    </row>
    <row r="6" spans="1:5" x14ac:dyDescent="0.25">
      <c r="A6" s="78" t="s">
        <v>630</v>
      </c>
      <c r="B6">
        <v>7</v>
      </c>
      <c r="E6">
        <v>7</v>
      </c>
    </row>
    <row r="7" spans="1:5" x14ac:dyDescent="0.25">
      <c r="A7" s="78" t="s">
        <v>458</v>
      </c>
    </row>
    <row r="8" spans="1:5" x14ac:dyDescent="0.25">
      <c r="A8" s="78" t="s">
        <v>631</v>
      </c>
      <c r="B8">
        <v>18</v>
      </c>
      <c r="E8">
        <v>18</v>
      </c>
    </row>
    <row r="9" spans="1:5" x14ac:dyDescent="0.25">
      <c r="A9" s="78" t="s">
        <v>459</v>
      </c>
      <c r="B9">
        <v>34</v>
      </c>
      <c r="C9">
        <v>3</v>
      </c>
      <c r="E9">
        <v>37</v>
      </c>
    </row>
    <row r="10" spans="1:5" x14ac:dyDescent="0.25">
      <c r="A10"/>
    </row>
    <row r="11" spans="1:5" x14ac:dyDescent="0.25">
      <c r="A11"/>
    </row>
    <row r="12" spans="1:5" x14ac:dyDescent="0.25">
      <c r="A12"/>
    </row>
    <row r="13" spans="1:5" x14ac:dyDescent="0.25">
      <c r="A13"/>
    </row>
    <row r="14" spans="1:5" x14ac:dyDescent="0.25">
      <c r="A14"/>
    </row>
    <row r="15" spans="1:5" x14ac:dyDescent="0.25">
      <c r="A15"/>
    </row>
    <row r="16" spans="1:5"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5" x14ac:dyDescent="0.25">
      <c r="A129"/>
    </row>
    <row r="130" spans="1:5" x14ac:dyDescent="0.25">
      <c r="A130"/>
    </row>
    <row r="131" spans="1:5" x14ac:dyDescent="0.25">
      <c r="A131"/>
    </row>
    <row r="132" spans="1:5" x14ac:dyDescent="0.25">
      <c r="A132"/>
    </row>
    <row r="133" spans="1:5" x14ac:dyDescent="0.25">
      <c r="A133"/>
    </row>
    <row r="134" spans="1:5" x14ac:dyDescent="0.25">
      <c r="A134"/>
    </row>
    <row r="135" spans="1:5" x14ac:dyDescent="0.25">
      <c r="A135"/>
    </row>
    <row r="136" spans="1:5" x14ac:dyDescent="0.25">
      <c r="A136"/>
    </row>
    <row r="137" spans="1:5" x14ac:dyDescent="0.25">
      <c r="A137"/>
    </row>
    <row r="138" spans="1:5" x14ac:dyDescent="0.25">
      <c r="A138"/>
    </row>
    <row r="139" spans="1:5" x14ac:dyDescent="0.25">
      <c r="A139"/>
    </row>
    <row r="140" spans="1:5" x14ac:dyDescent="0.25">
      <c r="A140" s="63" t="s">
        <v>632</v>
      </c>
      <c r="B140" s="63" t="s">
        <v>340</v>
      </c>
      <c r="C140" s="4"/>
      <c r="D140" s="4"/>
      <c r="E140" s="4"/>
    </row>
    <row r="141" spans="1:5" x14ac:dyDescent="0.25">
      <c r="A141" s="63" t="s">
        <v>443</v>
      </c>
      <c r="B141" s="4" t="s">
        <v>522</v>
      </c>
      <c r="C141" s="4" t="s">
        <v>523</v>
      </c>
      <c r="D141" s="4" t="s">
        <v>458</v>
      </c>
      <c r="E141" s="4" t="s">
        <v>459</v>
      </c>
    </row>
    <row r="142" spans="1:5" x14ac:dyDescent="0.25">
      <c r="A142" s="64" t="s">
        <v>360</v>
      </c>
      <c r="B142" s="4">
        <v>2</v>
      </c>
      <c r="C142" s="4">
        <v>3</v>
      </c>
      <c r="D142" s="4"/>
      <c r="E142" s="4">
        <v>5</v>
      </c>
    </row>
    <row r="143" spans="1:5" x14ac:dyDescent="0.25">
      <c r="A143" s="64" t="s">
        <v>628</v>
      </c>
      <c r="B143" s="4">
        <v>1</v>
      </c>
      <c r="C143" s="4"/>
      <c r="D143" s="4"/>
      <c r="E143" s="4">
        <v>1</v>
      </c>
    </row>
    <row r="144" spans="1:5" x14ac:dyDescent="0.25">
      <c r="A144" s="64" t="s">
        <v>458</v>
      </c>
      <c r="B144" s="4"/>
      <c r="C144" s="4"/>
      <c r="D144" s="4"/>
      <c r="E144" s="4"/>
    </row>
    <row r="145" spans="1:5" x14ac:dyDescent="0.25">
      <c r="A145" s="64" t="s">
        <v>630</v>
      </c>
      <c r="B145" s="4">
        <v>7</v>
      </c>
      <c r="C145" s="4"/>
      <c r="D145" s="4"/>
      <c r="E145" s="4">
        <v>7</v>
      </c>
    </row>
    <row r="146" spans="1:5" x14ac:dyDescent="0.25">
      <c r="A146" s="64" t="s">
        <v>629</v>
      </c>
      <c r="B146" s="4">
        <v>6</v>
      </c>
      <c r="C146" s="4"/>
      <c r="D146" s="4"/>
      <c r="E146" s="4">
        <v>6</v>
      </c>
    </row>
    <row r="147" spans="1:5" x14ac:dyDescent="0.25">
      <c r="A147" s="64" t="s">
        <v>631</v>
      </c>
      <c r="B147" s="4">
        <v>18</v>
      </c>
      <c r="C147" s="4"/>
      <c r="D147" s="4"/>
      <c r="E147" s="4">
        <v>18</v>
      </c>
    </row>
    <row r="148" spans="1:5" x14ac:dyDescent="0.25">
      <c r="A148" s="64" t="s">
        <v>459</v>
      </c>
      <c r="B148" s="4">
        <v>34</v>
      </c>
      <c r="C148" s="4">
        <v>3</v>
      </c>
      <c r="D148" s="4"/>
      <c r="E148" s="4">
        <v>37</v>
      </c>
    </row>
    <row r="149" spans="1:5" x14ac:dyDescent="0.25">
      <c r="A149"/>
    </row>
    <row r="150" spans="1:5" x14ac:dyDescent="0.25">
      <c r="A150"/>
    </row>
    <row r="151" spans="1:5" x14ac:dyDescent="0.25">
      <c r="A151"/>
    </row>
    <row r="152" spans="1:5" x14ac:dyDescent="0.25">
      <c r="A152"/>
    </row>
    <row r="153" spans="1:5" x14ac:dyDescent="0.25">
      <c r="A153"/>
    </row>
    <row r="154" spans="1:5" x14ac:dyDescent="0.25">
      <c r="A154"/>
    </row>
    <row r="155" spans="1:5" x14ac:dyDescent="0.25">
      <c r="A155"/>
    </row>
    <row r="156" spans="1:5" x14ac:dyDescent="0.25">
      <c r="A156"/>
    </row>
    <row r="157" spans="1:5" x14ac:dyDescent="0.25">
      <c r="A157"/>
    </row>
    <row r="158" spans="1:5" x14ac:dyDescent="0.25">
      <c r="A158"/>
    </row>
    <row r="159" spans="1:5" x14ac:dyDescent="0.25">
      <c r="A159"/>
    </row>
    <row r="160" spans="1:5"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sheetData>
  <pageMargins left="0.7" right="0.7" top="0.75" bottom="0.75" header="0.3" footer="0.3"/>
  <pageSetup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0FD3-907A-4FC9-97FF-D8444D7078C6}">
  <dimension ref="A1"/>
  <sheetViews>
    <sheetView zoomScaleNormal="100" workbookViewId="0">
      <selection activeCell="P34" sqref="P34"/>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DE6D-858E-486D-B0AC-15D17AE39E65}">
  <dimension ref="A1:J77"/>
  <sheetViews>
    <sheetView topLeftCell="A34" workbookViewId="0">
      <selection activeCell="A56" sqref="A56"/>
    </sheetView>
  </sheetViews>
  <sheetFormatPr defaultRowHeight="15" x14ac:dyDescent="0.25"/>
  <cols>
    <col min="1" max="1" width="13.140625" bestFit="1" customWidth="1"/>
    <col min="2" max="2" width="10.85546875" bestFit="1" customWidth="1"/>
    <col min="3" max="3" width="18.5703125" bestFit="1" customWidth="1"/>
    <col min="4" max="4" width="29.140625" bestFit="1" customWidth="1"/>
    <col min="5" max="5" width="27.42578125" bestFit="1" customWidth="1"/>
    <col min="6" max="7" width="7" bestFit="1" customWidth="1"/>
    <col min="8" max="8" width="14.140625" customWidth="1"/>
    <col min="9" max="9" width="10.28515625" customWidth="1"/>
    <col min="10" max="10" width="12.85546875" bestFit="1" customWidth="1"/>
    <col min="11" max="128" width="7" bestFit="1" customWidth="1"/>
    <col min="129" max="129" width="11.28515625" bestFit="1" customWidth="1"/>
  </cols>
  <sheetData>
    <row r="1" spans="1:5" x14ac:dyDescent="0.25">
      <c r="A1" s="77" t="s">
        <v>443</v>
      </c>
      <c r="B1" t="s">
        <v>627</v>
      </c>
      <c r="C1" t="s">
        <v>633</v>
      </c>
      <c r="D1" t="s">
        <v>634</v>
      </c>
      <c r="E1" t="s">
        <v>635</v>
      </c>
    </row>
    <row r="2" spans="1:5" x14ac:dyDescent="0.25">
      <c r="A2" s="78" t="s">
        <v>360</v>
      </c>
      <c r="B2">
        <v>5</v>
      </c>
      <c r="C2">
        <v>3.5</v>
      </c>
      <c r="D2">
        <v>28</v>
      </c>
      <c r="E2">
        <v>15</v>
      </c>
    </row>
    <row r="3" spans="1:5" x14ac:dyDescent="0.25">
      <c r="A3" s="78" t="s">
        <v>628</v>
      </c>
      <c r="B3">
        <v>1</v>
      </c>
      <c r="C3">
        <v>0</v>
      </c>
      <c r="D3">
        <v>7</v>
      </c>
      <c r="E3">
        <v>0</v>
      </c>
    </row>
    <row r="4" spans="1:5" x14ac:dyDescent="0.25">
      <c r="A4" s="78" t="s">
        <v>630</v>
      </c>
      <c r="B4">
        <v>7</v>
      </c>
      <c r="C4">
        <v>1.25</v>
      </c>
      <c r="D4">
        <v>49</v>
      </c>
      <c r="E4">
        <v>0</v>
      </c>
    </row>
    <row r="5" spans="1:5" x14ac:dyDescent="0.25">
      <c r="A5" s="78" t="s">
        <v>458</v>
      </c>
    </row>
    <row r="6" spans="1:5" x14ac:dyDescent="0.25">
      <c r="A6" s="78" t="s">
        <v>629</v>
      </c>
      <c r="B6">
        <v>6</v>
      </c>
      <c r="C6">
        <v>0.7</v>
      </c>
      <c r="D6">
        <v>43</v>
      </c>
      <c r="E6">
        <v>0</v>
      </c>
    </row>
    <row r="7" spans="1:5" x14ac:dyDescent="0.25">
      <c r="A7" s="78" t="s">
        <v>631</v>
      </c>
      <c r="B7">
        <v>18</v>
      </c>
      <c r="C7">
        <v>0.93333333333333335</v>
      </c>
      <c r="D7">
        <v>127</v>
      </c>
      <c r="E7">
        <v>0</v>
      </c>
    </row>
    <row r="8" spans="1:5" x14ac:dyDescent="0.25">
      <c r="A8" s="78" t="s">
        <v>459</v>
      </c>
      <c r="B8">
        <v>37</v>
      </c>
      <c r="C8">
        <v>6.3833333333333329</v>
      </c>
      <c r="D8">
        <v>254</v>
      </c>
      <c r="E8">
        <v>15</v>
      </c>
    </row>
    <row r="29" spans="1:10" x14ac:dyDescent="0.25">
      <c r="H29" s="91"/>
      <c r="I29" s="65"/>
      <c r="J29" s="65"/>
    </row>
    <row r="30" spans="1:10" x14ac:dyDescent="0.25">
      <c r="H30" s="91"/>
      <c r="I30" s="65"/>
      <c r="J30" s="65"/>
    </row>
    <row r="31" spans="1:10" x14ac:dyDescent="0.25">
      <c r="A31" t="s">
        <v>495</v>
      </c>
      <c r="B31" t="s">
        <v>636</v>
      </c>
      <c r="C31" s="105" t="s">
        <v>633</v>
      </c>
      <c r="D31" t="s">
        <v>637</v>
      </c>
      <c r="H31" s="106" t="s">
        <v>495</v>
      </c>
      <c r="I31" s="106" t="s">
        <v>638</v>
      </c>
      <c r="J31" s="106" t="s">
        <v>639</v>
      </c>
    </row>
    <row r="32" spans="1:10" x14ac:dyDescent="0.25">
      <c r="A32" s="78" t="s">
        <v>360</v>
      </c>
      <c r="B32">
        <v>18</v>
      </c>
      <c r="C32">
        <v>5.25</v>
      </c>
      <c r="D32" s="4">
        <f t="shared" ref="D32:D50" si="0">C32/B32*100</f>
        <v>29.166666666666668</v>
      </c>
      <c r="E32" s="4">
        <v>100</v>
      </c>
      <c r="H32" s="78" t="s">
        <v>360</v>
      </c>
      <c r="I32">
        <v>100</v>
      </c>
      <c r="J32">
        <v>29.166666666666668</v>
      </c>
    </row>
    <row r="33" spans="1:10" x14ac:dyDescent="0.25">
      <c r="A33" s="78" t="s">
        <v>640</v>
      </c>
      <c r="B33">
        <v>2</v>
      </c>
      <c r="C33">
        <v>0</v>
      </c>
      <c r="D33" s="4">
        <f t="shared" si="0"/>
        <v>0</v>
      </c>
      <c r="E33" s="4">
        <v>100</v>
      </c>
      <c r="H33" s="78" t="s">
        <v>640</v>
      </c>
      <c r="I33">
        <v>100</v>
      </c>
      <c r="J33">
        <v>0</v>
      </c>
    </row>
    <row r="34" spans="1:10" x14ac:dyDescent="0.25">
      <c r="A34" s="78" t="s">
        <v>641</v>
      </c>
      <c r="B34">
        <v>3</v>
      </c>
      <c r="C34">
        <v>0.33333333333333331</v>
      </c>
      <c r="D34" s="4">
        <f t="shared" si="0"/>
        <v>11.111111111111111</v>
      </c>
      <c r="E34" s="4">
        <v>100</v>
      </c>
      <c r="H34" s="78" t="s">
        <v>641</v>
      </c>
      <c r="I34">
        <v>100</v>
      </c>
      <c r="J34">
        <v>11.111111111111111</v>
      </c>
    </row>
    <row r="35" spans="1:10" x14ac:dyDescent="0.25">
      <c r="A35" s="78" t="s">
        <v>628</v>
      </c>
      <c r="B35">
        <v>8</v>
      </c>
      <c r="C35">
        <v>0.66666666666666663</v>
      </c>
      <c r="D35" s="4">
        <f t="shared" si="0"/>
        <v>8.3333333333333321</v>
      </c>
      <c r="E35" s="4">
        <v>100</v>
      </c>
      <c r="H35" s="78" t="s">
        <v>628</v>
      </c>
      <c r="I35">
        <v>100</v>
      </c>
      <c r="J35">
        <v>8.3333333333333321</v>
      </c>
    </row>
    <row r="36" spans="1:10" x14ac:dyDescent="0.25">
      <c r="A36" s="78" t="s">
        <v>642</v>
      </c>
      <c r="B36">
        <v>2</v>
      </c>
      <c r="C36">
        <v>0</v>
      </c>
      <c r="D36" s="4">
        <f t="shared" si="0"/>
        <v>0</v>
      </c>
      <c r="E36" s="4">
        <v>100</v>
      </c>
      <c r="H36" s="78" t="s">
        <v>642</v>
      </c>
      <c r="I36">
        <v>100</v>
      </c>
      <c r="J36">
        <v>0</v>
      </c>
    </row>
    <row r="37" spans="1:10" x14ac:dyDescent="0.25">
      <c r="A37" s="78" t="s">
        <v>643</v>
      </c>
      <c r="B37">
        <v>3</v>
      </c>
      <c r="C37">
        <v>1</v>
      </c>
      <c r="D37" s="4">
        <f t="shared" si="0"/>
        <v>33.333333333333329</v>
      </c>
      <c r="E37" s="4">
        <v>100</v>
      </c>
      <c r="H37" s="78" t="s">
        <v>643</v>
      </c>
      <c r="I37">
        <v>100</v>
      </c>
      <c r="J37">
        <v>33.333333333333329</v>
      </c>
    </row>
    <row r="38" spans="1:10" x14ac:dyDescent="0.25">
      <c r="A38" s="78" t="s">
        <v>630</v>
      </c>
      <c r="B38">
        <v>7</v>
      </c>
      <c r="C38">
        <v>1.25</v>
      </c>
      <c r="D38" s="4">
        <f t="shared" si="0"/>
        <v>17.857142857142858</v>
      </c>
      <c r="E38" s="4">
        <v>100</v>
      </c>
      <c r="H38" s="78" t="s">
        <v>630</v>
      </c>
      <c r="I38">
        <v>100</v>
      </c>
      <c r="J38">
        <v>17.857142857142858</v>
      </c>
    </row>
    <row r="39" spans="1:10" x14ac:dyDescent="0.25">
      <c r="A39" s="78" t="s">
        <v>644</v>
      </c>
      <c r="B39">
        <v>10</v>
      </c>
      <c r="C39">
        <v>2.5833333333333335</v>
      </c>
      <c r="D39" s="4">
        <f t="shared" si="0"/>
        <v>25.833333333333336</v>
      </c>
      <c r="E39" s="4">
        <v>100</v>
      </c>
      <c r="H39" s="78" t="s">
        <v>644</v>
      </c>
      <c r="I39">
        <v>100</v>
      </c>
      <c r="J39">
        <v>25.833333333333336</v>
      </c>
    </row>
    <row r="40" spans="1:10" x14ac:dyDescent="0.25">
      <c r="A40" s="78" t="s">
        <v>629</v>
      </c>
      <c r="B40">
        <v>6</v>
      </c>
      <c r="C40">
        <v>0.7</v>
      </c>
      <c r="D40" s="4">
        <f t="shared" si="0"/>
        <v>11.666666666666666</v>
      </c>
      <c r="E40" s="4">
        <v>100</v>
      </c>
      <c r="H40" s="78" t="s">
        <v>629</v>
      </c>
      <c r="I40">
        <v>100</v>
      </c>
      <c r="J40">
        <v>11.666666666666666</v>
      </c>
    </row>
    <row r="41" spans="1:10" x14ac:dyDescent="0.25">
      <c r="A41" s="78" t="s">
        <v>645</v>
      </c>
      <c r="B41">
        <v>13</v>
      </c>
      <c r="C41">
        <v>1.6166666666666667</v>
      </c>
      <c r="D41" s="4">
        <f t="shared" si="0"/>
        <v>12.435897435897436</v>
      </c>
      <c r="E41" s="4">
        <v>100</v>
      </c>
      <c r="H41" s="78" t="s">
        <v>645</v>
      </c>
      <c r="I41">
        <v>100</v>
      </c>
      <c r="J41">
        <v>12.435897435897436</v>
      </c>
    </row>
    <row r="42" spans="1:10" x14ac:dyDescent="0.25">
      <c r="A42" s="78" t="s">
        <v>646</v>
      </c>
      <c r="B42">
        <v>1</v>
      </c>
      <c r="C42">
        <v>0</v>
      </c>
      <c r="D42" s="4">
        <f t="shared" si="0"/>
        <v>0</v>
      </c>
      <c r="E42" s="4">
        <v>100</v>
      </c>
      <c r="H42" s="78" t="s">
        <v>646</v>
      </c>
      <c r="I42">
        <v>100</v>
      </c>
      <c r="J42">
        <v>0</v>
      </c>
    </row>
    <row r="43" spans="1:10" x14ac:dyDescent="0.25">
      <c r="A43" s="78" t="s">
        <v>647</v>
      </c>
      <c r="B43">
        <v>1</v>
      </c>
      <c r="C43">
        <v>0.5</v>
      </c>
      <c r="D43" s="4">
        <f t="shared" si="0"/>
        <v>50</v>
      </c>
      <c r="E43" s="4">
        <v>100</v>
      </c>
      <c r="H43" s="78" t="s">
        <v>647</v>
      </c>
      <c r="I43">
        <v>100</v>
      </c>
      <c r="J43">
        <v>50</v>
      </c>
    </row>
    <row r="44" spans="1:10" x14ac:dyDescent="0.25">
      <c r="A44" s="78" t="s">
        <v>648</v>
      </c>
      <c r="B44">
        <v>3</v>
      </c>
      <c r="C44">
        <v>0.25</v>
      </c>
      <c r="D44" s="4">
        <f t="shared" si="0"/>
        <v>8.3333333333333321</v>
      </c>
      <c r="E44" s="4">
        <v>100</v>
      </c>
      <c r="H44" s="78" t="s">
        <v>648</v>
      </c>
      <c r="I44">
        <v>100</v>
      </c>
      <c r="J44">
        <v>8.3333333333333321</v>
      </c>
    </row>
    <row r="45" spans="1:10" x14ac:dyDescent="0.25">
      <c r="A45" s="78" t="s">
        <v>649</v>
      </c>
      <c r="B45">
        <v>5</v>
      </c>
      <c r="C45">
        <v>0.875</v>
      </c>
      <c r="D45" s="4">
        <f t="shared" si="0"/>
        <v>17.5</v>
      </c>
      <c r="E45" s="4">
        <v>100</v>
      </c>
      <c r="H45" s="78" t="s">
        <v>649</v>
      </c>
      <c r="I45">
        <v>100</v>
      </c>
      <c r="J45">
        <v>17.5</v>
      </c>
    </row>
    <row r="46" spans="1:10" x14ac:dyDescent="0.25">
      <c r="A46" s="78" t="s">
        <v>650</v>
      </c>
      <c r="B46">
        <v>1</v>
      </c>
      <c r="C46">
        <v>0.2</v>
      </c>
      <c r="D46" s="4">
        <f t="shared" si="0"/>
        <v>20</v>
      </c>
      <c r="E46" s="4">
        <v>100</v>
      </c>
      <c r="H46" s="78" t="s">
        <v>650</v>
      </c>
      <c r="I46">
        <v>100</v>
      </c>
      <c r="J46">
        <v>20</v>
      </c>
    </row>
    <row r="47" spans="1:10" x14ac:dyDescent="0.25">
      <c r="A47" s="78" t="s">
        <v>631</v>
      </c>
      <c r="B47">
        <v>38</v>
      </c>
      <c r="C47">
        <v>0.33333333333333337</v>
      </c>
      <c r="D47" s="4">
        <f t="shared" si="0"/>
        <v>0.87719298245614052</v>
      </c>
      <c r="E47" s="4">
        <v>100</v>
      </c>
      <c r="H47" s="78" t="s">
        <v>631</v>
      </c>
      <c r="I47">
        <v>100</v>
      </c>
      <c r="J47">
        <v>0.87719298245614052</v>
      </c>
    </row>
    <row r="48" spans="1:10" x14ac:dyDescent="0.25">
      <c r="A48" s="78" t="s">
        <v>651</v>
      </c>
      <c r="B48">
        <v>2</v>
      </c>
      <c r="C48">
        <v>0</v>
      </c>
      <c r="D48" s="4">
        <f t="shared" si="0"/>
        <v>0</v>
      </c>
      <c r="E48" s="4">
        <v>100</v>
      </c>
      <c r="H48" s="78" t="s">
        <v>651</v>
      </c>
      <c r="I48">
        <v>100</v>
      </c>
      <c r="J48">
        <v>0</v>
      </c>
    </row>
    <row r="49" spans="1:10" x14ac:dyDescent="0.25">
      <c r="A49" s="78" t="s">
        <v>652</v>
      </c>
      <c r="B49">
        <v>1</v>
      </c>
      <c r="C49">
        <v>0</v>
      </c>
      <c r="D49" s="4">
        <f t="shared" si="0"/>
        <v>0</v>
      </c>
      <c r="E49" s="4">
        <v>100</v>
      </c>
      <c r="H49" s="78" t="s">
        <v>652</v>
      </c>
      <c r="I49">
        <v>100</v>
      </c>
      <c r="J49">
        <v>0</v>
      </c>
    </row>
    <row r="50" spans="1:10" x14ac:dyDescent="0.25">
      <c r="A50" s="78" t="s">
        <v>653</v>
      </c>
      <c r="B50">
        <v>4</v>
      </c>
      <c r="C50">
        <v>0.5</v>
      </c>
      <c r="D50" s="4">
        <f t="shared" si="0"/>
        <v>12.5</v>
      </c>
      <c r="E50" s="4">
        <v>100</v>
      </c>
      <c r="H50" s="78" t="s">
        <v>653</v>
      </c>
      <c r="I50">
        <v>100</v>
      </c>
      <c r="J50">
        <v>12.5</v>
      </c>
    </row>
    <row r="51" spans="1:10" x14ac:dyDescent="0.25">
      <c r="A51" s="78"/>
      <c r="D51" s="4"/>
      <c r="E51" s="4"/>
      <c r="H51" s="78"/>
    </row>
    <row r="52" spans="1:10" x14ac:dyDescent="0.25">
      <c r="A52" s="78"/>
      <c r="D52" s="4"/>
      <c r="E52" s="4"/>
      <c r="H52" s="78"/>
    </row>
    <row r="56" spans="1:10" ht="60" x14ac:dyDescent="0.25">
      <c r="A56" s="106" t="s">
        <v>495</v>
      </c>
      <c r="B56" s="107" t="s">
        <v>634</v>
      </c>
      <c r="C56" s="107" t="s">
        <v>654</v>
      </c>
    </row>
    <row r="57" spans="1:10" x14ac:dyDescent="0.25">
      <c r="A57" s="78" t="s">
        <v>360</v>
      </c>
      <c r="B57">
        <v>96</v>
      </c>
      <c r="C57">
        <v>29</v>
      </c>
    </row>
    <row r="58" spans="1:10" x14ac:dyDescent="0.25">
      <c r="A58" s="78" t="s">
        <v>640</v>
      </c>
      <c r="B58">
        <v>15</v>
      </c>
      <c r="C58">
        <v>0</v>
      </c>
    </row>
    <row r="59" spans="1:10" x14ac:dyDescent="0.25">
      <c r="A59" s="78" t="s">
        <v>641</v>
      </c>
      <c r="B59">
        <v>24</v>
      </c>
      <c r="C59">
        <v>0</v>
      </c>
    </row>
    <row r="60" spans="1:10" x14ac:dyDescent="0.25">
      <c r="A60" s="78" t="s">
        <v>628</v>
      </c>
      <c r="B60">
        <v>46</v>
      </c>
      <c r="C60">
        <v>0</v>
      </c>
    </row>
    <row r="61" spans="1:10" x14ac:dyDescent="0.25">
      <c r="A61" s="78" t="s">
        <v>642</v>
      </c>
      <c r="B61">
        <v>16</v>
      </c>
      <c r="C61">
        <v>0</v>
      </c>
    </row>
    <row r="62" spans="1:10" x14ac:dyDescent="0.25">
      <c r="A62" s="78" t="s">
        <v>643</v>
      </c>
      <c r="B62">
        <v>21</v>
      </c>
      <c r="C62">
        <v>10</v>
      </c>
    </row>
    <row r="63" spans="1:10" x14ac:dyDescent="0.25">
      <c r="A63" s="78" t="s">
        <v>630</v>
      </c>
      <c r="B63">
        <v>49</v>
      </c>
      <c r="C63">
        <v>0</v>
      </c>
    </row>
    <row r="64" spans="1:10" x14ac:dyDescent="0.25">
      <c r="A64" s="78" t="s">
        <v>644</v>
      </c>
      <c r="B64">
        <v>64</v>
      </c>
      <c r="C64">
        <v>5</v>
      </c>
    </row>
    <row r="65" spans="1:3" x14ac:dyDescent="0.25">
      <c r="A65" s="78" t="s">
        <v>629</v>
      </c>
      <c r="B65">
        <v>43</v>
      </c>
      <c r="C65">
        <v>0</v>
      </c>
    </row>
    <row r="66" spans="1:3" x14ac:dyDescent="0.25">
      <c r="A66" s="78" t="s">
        <v>645</v>
      </c>
      <c r="B66">
        <v>88</v>
      </c>
      <c r="C66">
        <v>0</v>
      </c>
    </row>
    <row r="67" spans="1:3" x14ac:dyDescent="0.25">
      <c r="A67" s="78" t="s">
        <v>646</v>
      </c>
      <c r="B67">
        <v>3</v>
      </c>
      <c r="C67">
        <v>0</v>
      </c>
    </row>
    <row r="68" spans="1:3" x14ac:dyDescent="0.25">
      <c r="A68" s="78" t="s">
        <v>647</v>
      </c>
      <c r="B68">
        <v>3</v>
      </c>
      <c r="C68">
        <v>0</v>
      </c>
    </row>
    <row r="69" spans="1:3" x14ac:dyDescent="0.25">
      <c r="A69" s="78" t="s">
        <v>648</v>
      </c>
      <c r="B69">
        <v>24</v>
      </c>
      <c r="C69">
        <v>0</v>
      </c>
    </row>
    <row r="70" spans="1:3" x14ac:dyDescent="0.25">
      <c r="A70" s="78" t="s">
        <v>649</v>
      </c>
      <c r="B70">
        <v>33</v>
      </c>
      <c r="C70">
        <v>0</v>
      </c>
    </row>
    <row r="71" spans="1:3" x14ac:dyDescent="0.25">
      <c r="A71" s="78" t="s">
        <v>650</v>
      </c>
      <c r="B71">
        <v>7</v>
      </c>
      <c r="C71">
        <v>0</v>
      </c>
    </row>
    <row r="72" spans="1:3" x14ac:dyDescent="0.25">
      <c r="A72" s="78" t="s">
        <v>631</v>
      </c>
      <c r="B72">
        <v>286</v>
      </c>
      <c r="C72">
        <v>0</v>
      </c>
    </row>
    <row r="73" spans="1:3" x14ac:dyDescent="0.25">
      <c r="A73" s="78" t="s">
        <v>651</v>
      </c>
      <c r="B73">
        <v>9</v>
      </c>
      <c r="C73">
        <v>0</v>
      </c>
    </row>
    <row r="74" spans="1:3" x14ac:dyDescent="0.25">
      <c r="A74" s="78" t="s">
        <v>652</v>
      </c>
      <c r="B74">
        <v>7</v>
      </c>
      <c r="C74">
        <v>0</v>
      </c>
    </row>
    <row r="75" spans="1:3" x14ac:dyDescent="0.25">
      <c r="A75" s="78" t="s">
        <v>653</v>
      </c>
      <c r="B75">
        <v>28</v>
      </c>
      <c r="C75">
        <v>0</v>
      </c>
    </row>
    <row r="76" spans="1:3" x14ac:dyDescent="0.25">
      <c r="A76" s="78"/>
    </row>
    <row r="77" spans="1:3" x14ac:dyDescent="0.25">
      <c r="A77" s="7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2DDE-E7AF-450A-B03A-FB4CCF31F3F5}">
  <dimension ref="A1:D3"/>
  <sheetViews>
    <sheetView workbookViewId="0">
      <selection activeCell="D4" sqref="D4"/>
    </sheetView>
  </sheetViews>
  <sheetFormatPr defaultRowHeight="15" x14ac:dyDescent="0.25"/>
  <cols>
    <col min="1" max="1" width="22.140625" customWidth="1"/>
    <col min="3" max="3" width="111.7109375" bestFit="1" customWidth="1"/>
    <col min="4" max="4" width="34.7109375" bestFit="1" customWidth="1"/>
  </cols>
  <sheetData>
    <row r="1" spans="1:4" x14ac:dyDescent="0.25">
      <c r="A1" s="108" t="s">
        <v>273</v>
      </c>
      <c r="B1" s="108" t="s">
        <v>462</v>
      </c>
      <c r="C1" s="108" t="s">
        <v>655</v>
      </c>
      <c r="D1" s="108" t="s">
        <v>656</v>
      </c>
    </row>
    <row r="2" spans="1:4" x14ac:dyDescent="0.25">
      <c r="A2" t="s">
        <v>285</v>
      </c>
      <c r="B2">
        <v>2</v>
      </c>
      <c r="C2" t="s">
        <v>657</v>
      </c>
      <c r="D2">
        <v>3.4</v>
      </c>
    </row>
    <row r="3" spans="1:4" x14ac:dyDescent="0.25">
      <c r="A3" t="s">
        <v>285</v>
      </c>
      <c r="B3">
        <v>3</v>
      </c>
      <c r="C3" t="s">
        <v>658</v>
      </c>
      <c r="D3">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D5BC1588C0A144AF615344FA3BF735" ma:contentTypeVersion="8" ma:contentTypeDescription="Create a new document." ma:contentTypeScope="" ma:versionID="7fd93b30be7e2c8ba3b72ccf1058fc0a">
  <xsd:schema xmlns:xsd="http://www.w3.org/2001/XMLSchema" xmlns:xs="http://www.w3.org/2001/XMLSchema" xmlns:p="http://schemas.microsoft.com/office/2006/metadata/properties" xmlns:ns1="http://schemas.microsoft.com/sharepoint/v3" xmlns:ns2="4feeec71-d235-4ce8-aee3-88f8347af3d5" xmlns:ns3="f53eb21e-e63b-4738-88b8-d2c5ba6a5d43" targetNamespace="http://schemas.microsoft.com/office/2006/metadata/properties" ma:root="true" ma:fieldsID="6cbd622cb6a0d58032e12e6d8cb900ed" ns1:_="" ns2:_="" ns3:_="">
    <xsd:import namespace="http://schemas.microsoft.com/sharepoint/v3"/>
    <xsd:import namespace="4feeec71-d235-4ce8-aee3-88f8347af3d5"/>
    <xsd:import namespace="f53eb21e-e63b-4738-88b8-d2c5ba6a5d43"/>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ma:readOnly="fals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eeec71-d235-4ce8-aee3-88f8347af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3eb21e-e63b-4738-88b8-d2c5ba6a5d4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SharedWithUsers xmlns="f53eb21e-e63b-4738-88b8-d2c5ba6a5d43">
      <UserInfo>
        <DisplayName>Fillhart, Dana</DisplayName>
        <AccountId>430</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f5af0f96-557c-40e5-b74f-4de88d247c44" ContentTypeId="0x0101" PreviousValue="false"/>
</file>

<file path=customXml/itemProps1.xml><?xml version="1.0" encoding="utf-8"?>
<ds:datastoreItem xmlns:ds="http://schemas.openxmlformats.org/officeDocument/2006/customXml" ds:itemID="{25BB0467-83AC-4D15-BE87-A4142D3845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eeec71-d235-4ce8-aee3-88f8347af3d5"/>
    <ds:schemaRef ds:uri="f53eb21e-e63b-4738-88b8-d2c5ba6a5d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5DCA6F-EEA6-4275-95A8-C8641290FB16}">
  <ds:schemaRefs>
    <ds:schemaRef ds:uri="4feeec71-d235-4ce8-aee3-88f8347af3d5"/>
    <ds:schemaRef ds:uri="http://purl.org/dc/terms/"/>
    <ds:schemaRef ds:uri="http://schemas.microsoft.com/office/2006/metadata/properties"/>
    <ds:schemaRef ds:uri="http://www.w3.org/XML/1998/namespace"/>
    <ds:schemaRef ds:uri="http://schemas.microsoft.com/sharepoint/v3"/>
    <ds:schemaRef ds:uri="f53eb21e-e63b-4738-88b8-d2c5ba6a5d43"/>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AA10AAE4-185C-443A-86DD-C57C38CC085E}">
  <ds:schemaRefs>
    <ds:schemaRef ds:uri="http://schemas.microsoft.com/sharepoint/v3/contenttype/forms"/>
  </ds:schemaRefs>
</ds:datastoreItem>
</file>

<file path=customXml/itemProps4.xml><?xml version="1.0" encoding="utf-8"?>
<ds:datastoreItem xmlns:ds="http://schemas.openxmlformats.org/officeDocument/2006/customXml" ds:itemID="{304DCD87-EA5A-4861-AE78-DFEA3FB8215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Sheet1</vt:lpstr>
      <vt:lpstr>Start Here</vt:lpstr>
      <vt:lpstr>Resource Planning</vt:lpstr>
      <vt:lpstr>ResourceAllocationByPriority</vt:lpstr>
      <vt:lpstr>Sheet2</vt:lpstr>
      <vt:lpstr>HistorySP</vt:lpstr>
      <vt:lpstr>ProgramPriorityFeatures</vt:lpstr>
      <vt:lpstr>PI Commitments</vt:lpstr>
      <vt:lpstr>Team</vt:lpstr>
      <vt:lpstr>PIPlanningSessionBestPractices</vt:lpstr>
      <vt:lpstr>Objectives(opt)</vt:lpstr>
      <vt:lpstr>Summary(not being used)</vt:lpstr>
      <vt:lpstr>PI Progress(not being used)</vt:lpstr>
      <vt:lpstr>Raw Data(not being used)</vt:lpstr>
      <vt:lpstr>Sprint Goals</vt:lpstr>
      <vt:lpstr>Teams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Talluru, Praveena</dc:creator>
  <cp:keywords/>
  <dc:description/>
  <cp:lastModifiedBy>Ganesan, Vilasini</cp:lastModifiedBy>
  <cp:revision/>
  <dcterms:created xsi:type="dcterms:W3CDTF">2019-05-15T15:12:01Z</dcterms:created>
  <dcterms:modified xsi:type="dcterms:W3CDTF">2022-04-06T21:25:50Z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0x010100D2D5BC1588C0A144AF615344FA3BF735</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TaxKeyword">
    <vt:lpwstr/>
  </property>
  <property fmtid="{D5CDD505-2E9C-101B-9397-08002B2CF9AE}" pid="6" name="TaxCatchAll">
    <vt:lpwstr/>
  </property>
  <property fmtid="{D5CDD505-2E9C-101B-9397-08002B2CF9AE}" pid="7" name="TaxKeywordTaxHTField">
    <vt:lpwstr/>
  </property>
  <property fmtid="{D5CDD505-2E9C-101B-9397-08002B2CF9AE}" pid="8" name="ML_LineOfBusiness">
    <vt:lpwstr/>
  </property>
  <property fmtid="{D5CDD505-2E9C-101B-9397-08002B2CF9AE}" pid="9" name="aa413b61045448e6bc230aa29a84eb0b">
    <vt:lpwstr/>
  </property>
  <property fmtid="{D5CDD505-2E9C-101B-9397-08002B2CF9AE}" pid="10" name="hae69c9a3b974f6ea09ed5059cd93782">
    <vt:lpwstr/>
  </property>
  <property fmtid="{D5CDD505-2E9C-101B-9397-08002B2CF9AE}" pid="11" name="o2a67a7f239d463099c84f831d9f71a7">
    <vt:lpwstr/>
  </property>
  <property fmtid="{D5CDD505-2E9C-101B-9397-08002B2CF9AE}" pid="12" name="ML_Roles">
    <vt:lpwstr/>
  </property>
  <property fmtid="{D5CDD505-2E9C-101B-9397-08002B2CF9AE}" pid="13" name="ML_Geography">
    <vt:lpwstr/>
  </property>
  <property fmtid="{D5CDD505-2E9C-101B-9397-08002B2CF9AE}" pid="14" name="pc3a60732cff4bd6a1032848edf6a57b">
    <vt:lpwstr/>
  </property>
  <property fmtid="{D5CDD505-2E9C-101B-9397-08002B2CF9AE}" pid="15" name="ML_OfficeLocation">
    <vt:lpwstr/>
  </property>
</Properties>
</file>