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metlife.com/teams/investmentsit/IDMI/cadi/DALFI/Documentation - Design &amp; Others/"/>
    </mc:Choice>
  </mc:AlternateContent>
  <xr:revisionPtr revIDLastSave="0" documentId="8_{CB636944-8206-4C38-9D38-ACB5A7B40D22}" xr6:coauthVersionLast="47" xr6:coauthVersionMax="47" xr10:uidLastSave="{00000000-0000-0000-0000-000000000000}"/>
  <bookViews>
    <workbookView xWindow="-110" yWindow="-110" windowWidth="19420" windowHeight="10420" xr2:uid="{4BEE323F-4E9C-474D-B591-3195D9304F8A}"/>
  </bookViews>
  <sheets>
    <sheet name="Functionalities" sheetId="1" r:id="rId1"/>
    <sheet name="Project Timeline" sheetId="2" r:id="rId2"/>
    <sheet name="API Specfications" sheetId="3" r:id="rId3"/>
  </sheets>
  <definedNames>
    <definedName name="_xlnm._FilterDatabase" localSheetId="2" hidden="1">'API Specfications'!$L$9:$M$31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I2" i="1"/>
  <c r="J2" i="1"/>
  <c r="O3" i="3"/>
  <c r="O4" i="3"/>
  <c r="O2" i="3"/>
  <c r="O5" i="3" s="1"/>
</calcChain>
</file>

<file path=xl/sharedStrings.xml><?xml version="1.0" encoding="utf-8"?>
<sst xmlns="http://schemas.openxmlformats.org/spreadsheetml/2006/main" count="424" uniqueCount="249">
  <si>
    <t>SL No</t>
  </si>
  <si>
    <t>Functionality</t>
  </si>
  <si>
    <t>Page</t>
  </si>
  <si>
    <t>How to get here</t>
  </si>
  <si>
    <t>Functionalities</t>
  </si>
  <si>
    <t>Navigate To</t>
  </si>
  <si>
    <t>UI</t>
  </si>
  <si>
    <t>API</t>
  </si>
  <si>
    <t>UI % Complete</t>
  </si>
  <si>
    <t>API % Complete</t>
  </si>
  <si>
    <t>Integration % Complete</t>
  </si>
  <si>
    <t>UI - Days required to complete</t>
  </si>
  <si>
    <t>API - Days required to complete</t>
  </si>
  <si>
    <t>Database</t>
  </si>
  <si>
    <t>Show the List of Existing Queries based on selected filters</t>
  </si>
  <si>
    <t>Query Designer Suggestion Page - Default Page</t>
  </si>
  <si>
    <t>Default Page - On Site Load/Menu(IDC Queries)</t>
  </si>
  <si>
    <t xml:space="preserve">Navigate to the Step 1 of the wizard. </t>
  </si>
  <si>
    <t xml:space="preserve">a. Load DataClass </t>
  </si>
  <si>
    <t>/dataclass</t>
  </si>
  <si>
    <t xml:space="preserve">b. Load DataSystemCode based on dataClass </t>
  </si>
  <si>
    <t>/datasetType?dataclass={dataclass}</t>
  </si>
  <si>
    <t>c. Load DataFrame (Layer 1 and Layer 2) in same dropdown and Filter DataFrames on selecting DataClass and DataSystemCode</t>
  </si>
  <si>
    <t>/dataframes?datasetType={}&amp;dataClass={}</t>
  </si>
  <si>
    <t>d. Load all the existing query(Approved) as query suggestion</t>
  </si>
  <si>
    <t>/queries/search?dataframes={dataframe1,dataframe2}</t>
  </si>
  <si>
    <t xml:space="preserve">e. Show All queries(Including Rejected Query) on selecting the checkbox. </t>
  </si>
  <si>
    <t>f. Allow user to View the existing query</t>
  </si>
  <si>
    <t>/queries/{queryname}/{Version}</t>
  </si>
  <si>
    <t>g. Reject the suggestion and navigate to design new query</t>
  </si>
  <si>
    <t>Query Design</t>
  </si>
  <si>
    <t>Default Page - First section/Step 1</t>
  </si>
  <si>
    <t>Only from Query Suggestion section</t>
  </si>
  <si>
    <t>Navigate to the Step 2 of the wizard to select the source parameters. Cancel will go to Query Suggestion screen</t>
  </si>
  <si>
    <t>a. QueryName and Query Description - Input Field, EAI Code - Dropdown(Single Select)</t>
  </si>
  <si>
    <t>b. DataClass and DataSystemCode - Filters to filter the DataFrame</t>
  </si>
  <si>
    <t>c. DataFrame - Dropdown with Grid DataFrames and IDC DDFs(Single Select)</t>
  </si>
  <si>
    <t>d.Load all subnodes of dataframe in a dropdown</t>
  </si>
  <si>
    <t>d. Alias Name for the selected DataFrame - Input Field</t>
  </si>
  <si>
    <t>c. Add button - Click will Add the DataFrame as a Source in the Query</t>
  </si>
  <si>
    <t>e. A card with DataFrame basic info will be visible</t>
  </si>
  <si>
    <t>f. User can add more than DataFrame as a source of the query</t>
  </si>
  <si>
    <t>g. cards will be connected with each other indicating the join between the DataFrames</t>
  </si>
  <si>
    <t>h. Button - Save and Continue will create the source section of the query. Cancel will cancel and go back to the previous screen.</t>
  </si>
  <si>
    <t>/queries/{queryName}/{version}/schema</t>
  </si>
  <si>
    <t xml:space="preserve">Existing Query - Options(View or Edit Query)
</t>
  </si>
  <si>
    <t>a. QueryName, Query Version and EAI Code - Label</t>
  </si>
  <si>
    <t>h. Option(View Query) -&gt; Buttons -&gt; Validate and Execute, Submit Query for Approval and Back</t>
  </si>
  <si>
    <t>/requests</t>
  </si>
  <si>
    <t>i. Right side pane will be visible displaying the query details(Read Only) Source, Output Fields, Joins, Filters.</t>
  </si>
  <si>
    <t>k. Option(Edit Query) -&gt; Buttons -&gt; Save and Continue, Cancel</t>
  </si>
  <si>
    <t>Source Parameters</t>
  </si>
  <si>
    <t>Query Wizard Step 2</t>
  </si>
  <si>
    <t>Only from Step 1 of the Wizard</t>
  </si>
  <si>
    <t>Navigate to the first Step 3 of the wizard to select the Create Pre Triggers. Previous Step will go to the Query Source Step. Cancel will go to Query Suggestion screen</t>
  </si>
  <si>
    <t>a. Dropdown that loads all the DataFrame part of the Source of the query(Single Select)</t>
  </si>
  <si>
    <t>b. Dropdown for Region, Period, Payload Tag, Payload Type, Fallbacktopreviousdate(True/False) and AsOfDate(Date Selector) (Single Select)</t>
  </si>
  <si>
    <t>c. Select DataFrame, complete the source parameter selection.Period is mandatory single select field?Click Add</t>
  </si>
  <si>
    <t>d. Only one entry per DataFrame</t>
  </si>
  <si>
    <t>e. Change DataFrame to enter for other DataFrames</t>
  </si>
  <si>
    <t>f. Button -&gt; Save and Continue, Previous Step and Cancel</t>
  </si>
  <si>
    <t>Create PreTrigger</t>
  </si>
  <si>
    <t>Query Wizard Step 3</t>
  </si>
  <si>
    <t>Only from Step 2 of the Wizard</t>
  </si>
  <si>
    <t>Navigate to the first Step 4 of the wizard to create Joins. Previous Step will go to the Source Parameter. Cancel will go to Query Suggestion screen</t>
  </si>
  <si>
    <t>a. Tabular format</t>
  </si>
  <si>
    <t>b. Row 1: Each DataFrame part of the source will be in a cell</t>
  </si>
  <si>
    <t>c. Row 2:Region Dropdown populating All Regions specific to the DataFrame. If the user has selected a region from the source parameter section then the dropdown will have only one region locked and available in this section.</t>
  </si>
  <si>
    <t>/dataframes/{dataFrameName}</t>
  </si>
  <si>
    <t>d. Row 2:Period Dropdown populating All Period specific to the DataFrame. If the user has selected a period from the source parameter section then the dropdown will have only one period locked and available in this section.</t>
  </si>
  <si>
    <t>e. Row 2:PayloadTag Dropdown populating All Payload specific to the DataFrame. If the user has selected a Payload from the source parameter section then the dropdown will have only one Payload locked and available in this section.</t>
  </si>
  <si>
    <t>f. clicking Add button will create the Pre Trigger and the wizard screen will allow the user to create all possible Pre Trigger conditions.</t>
  </si>
  <si>
    <t>g. Grid that shows the Existing/New Joins created for the query</t>
  </si>
  <si>
    <t>h. Button -&gt; Save and Continue, Previous Step and Cancel</t>
  </si>
  <si>
    <t>Joins</t>
  </si>
  <si>
    <t>Query Wizard Step 4</t>
  </si>
  <si>
    <t>Only from Step 3 of the Wizard</t>
  </si>
  <si>
    <t>Navigate to the Step 5 of the wizard to output fields. Previous Step will go to the Pre Tigger Step. Cancel will go to Query Suggestion screen</t>
  </si>
  <si>
    <t>a. LeftDataFrame Dropdown will populate Source DataFrames(Single Select)</t>
  </si>
  <si>
    <t>b. RightDataFrame Dropdown will populate Source DataFrames(Single Select)</t>
  </si>
  <si>
    <t>c. Selecting DataFrame from Left Dropdown will load the Field specific to the DataFrame in Dropdown(Single Select)</t>
  </si>
  <si>
    <t>d. Selecting DataFrame from Right Dropdown will load the Field specific to the DataFrame in Dropdown(Single Select)</t>
  </si>
  <si>
    <t>e. Dropdown to select Join Type(INNER, LEFT OUTER, RIGHT OUTER)</t>
  </si>
  <si>
    <t>f. Textbox - To create Join Expression</t>
  </si>
  <si>
    <t>g. Add button to Add a Join Entry</t>
  </si>
  <si>
    <t>h. Grid that shows the Existing/New Joins created for the query</t>
  </si>
  <si>
    <t>i. Button -&gt; Save and Continue, Previous Step and Cancel</t>
  </si>
  <si>
    <t>Output Fields</t>
  </si>
  <si>
    <t>Query Wizard Step 5</t>
  </si>
  <si>
    <t>Only from Step 4 of the Wizard</t>
  </si>
  <si>
    <t>Navigate to the Step 6 of the wizard to field Filters. Previous Step will go to the Joins Step. Cancel will go to Query Suggestion screen</t>
  </si>
  <si>
    <t>b. Selecting the Dropdown will load the fields specific to the selected dataframe in a grid</t>
  </si>
  <si>
    <t>c. checkbox on the first cell to select the field for output</t>
  </si>
  <si>
    <t>d. Button -&gt; Save and Continue, Previous Step and Cancel</t>
  </si>
  <si>
    <t>Field Filters</t>
  </si>
  <si>
    <t>Query Wizard Step 6</t>
  </si>
  <si>
    <t>Only from Step 5 of the Wizard</t>
  </si>
  <si>
    <t xml:space="preserve">Output Fields
</t>
  </si>
  <si>
    <t>Previous Step will go to the Output Fields Step. Cancel will go to Query Suggestion screen</t>
  </si>
  <si>
    <t>b. Selecting the Dropdown will load the fields specific to the selected dataframe in a dropdown</t>
  </si>
  <si>
    <t>c. Dropdown to load the Field operators(Equal To, Like, IN)</t>
  </si>
  <si>
    <t>e. Default Value or Parameter Name - Text box to enter</t>
  </si>
  <si>
    <t>f. ParameterType - Dropdown to load the DataType(String, Numeric, Decimal, Date)</t>
  </si>
  <si>
    <t>g. Grid that shows the Existing/New Filters created for the query</t>
  </si>
  <si>
    <t>i. Button -&gt; Validate and Execute(Involved Notification to user on Validation Status and Data Available for Preview), Submit For Approval(Enabled after successful validation), Previous Step and Cancel</t>
  </si>
  <si>
    <t>Query Progress</t>
  </si>
  <si>
    <t>Separate Screen - Load Query specific to the user</t>
  </si>
  <si>
    <t>Navigation Menu</t>
  </si>
  <si>
    <t>First step of the query wizard</t>
  </si>
  <si>
    <t>a. Show the list of queries created by the logged in user in grid</t>
  </si>
  <si>
    <t>b. Grid cell shows the current query status</t>
  </si>
  <si>
    <t xml:space="preserve">c. Clicking on continue button of the query in the row will navigate to the wizard to the step 1 </t>
  </si>
  <si>
    <t>d. User will be allowed to continue from where they have left off.</t>
  </si>
  <si>
    <t>Adhoc Query</t>
  </si>
  <si>
    <t>Separate Screen</t>
  </si>
  <si>
    <t>NA</t>
  </si>
  <si>
    <t>a. Dropdown loads all the Layer 1/Grid DataFrames(single Select)</t>
  </si>
  <si>
    <t>b. Select the DataFrame</t>
  </si>
  <si>
    <t>c. Click View Data</t>
  </si>
  <si>
    <t>d. Grid that load the Data(ReadOnly) of the DataFrame from the Parquet file. As it is Data. 50 Rows</t>
  </si>
  <si>
    <t>Query Approval</t>
  </si>
  <si>
    <t>a. Show list of queries that are pending for approval</t>
  </si>
  <si>
    <t>/queries?status={status1,status2}</t>
  </si>
  <si>
    <t>b. Toggle dropdown to show approved queries</t>
  </si>
  <si>
    <t xml:space="preserve">c. Pending approval queries can be approved, rejected(Reason is mandatory), abandon((Reason is mandatory)). </t>
  </si>
  <si>
    <t>d.Query approval Notification will be sent to the user</t>
  </si>
  <si>
    <t>e. Approved query(Json file) can be downloaded along with the query execution evidence(Excel file) digitally signed and downloaded to a zip file</t>
  </si>
  <si>
    <t>SIT</t>
  </si>
  <si>
    <t>UAT</t>
  </si>
  <si>
    <t>Admin Page</t>
  </si>
  <si>
    <t>Manage UI/Functionality specific user roles</t>
  </si>
  <si>
    <t>Historical Page</t>
  </si>
  <si>
    <t>Page to show the Query History</t>
  </si>
  <si>
    <t>1.3.2.21</t>
  </si>
  <si>
    <t>Milestone: IDC Phase 2 for Query Builder Automation</t>
  </si>
  <si>
    <t>In-Progress</t>
  </si>
  <si>
    <t>Jatin Chauhan</t>
  </si>
  <si>
    <t>1.3.2.21.1</t>
  </si>
  <si>
    <t>IDC Phase 2 design</t>
  </si>
  <si>
    <t>1.3.2.21.2</t>
  </si>
  <si>
    <t>IDC Phase 2 development</t>
  </si>
  <si>
    <t>1.3.2.21.3</t>
  </si>
  <si>
    <t>IDC Phase 2 SIT</t>
  </si>
  <si>
    <t>Not Started</t>
  </si>
  <si>
    <t>1.3.2.21.4</t>
  </si>
  <si>
    <t>IDC Phase 2 UAT</t>
  </si>
  <si>
    <t>1.3.2.21.5</t>
  </si>
  <si>
    <t>IDC Phase 2 PROD Deployment</t>
  </si>
  <si>
    <t>IDC Phase 2 API Specifications</t>
  </si>
  <si>
    <t>Roles :</t>
  </si>
  <si>
    <t>Completed</t>
  </si>
  <si>
    <t>IDCDataReader</t>
  </si>
  <si>
    <t>Read all IDC meta data and grid parquee data, IDCMetaDataReader</t>
  </si>
  <si>
    <t>Pending</t>
  </si>
  <si>
    <t>IDCApprover</t>
  </si>
  <si>
    <t>Approve IDC query definition</t>
  </si>
  <si>
    <t>InProgress</t>
  </si>
  <si>
    <t>IDCDesigner</t>
  </si>
  <si>
    <t>Edit IDC meta data</t>
  </si>
  <si>
    <t>Total</t>
  </si>
  <si>
    <t>Resource</t>
  </si>
  <si>
    <t>HTTP Methods and permissions</t>
  </si>
  <si>
    <t>Coding Standards</t>
  </si>
  <si>
    <t>Development Status</t>
  </si>
  <si>
    <t>POST</t>
  </si>
  <si>
    <t>Permission</t>
  </si>
  <si>
    <t>GET</t>
  </si>
  <si>
    <t>PUT</t>
  </si>
  <si>
    <t>DELETE</t>
  </si>
  <si>
    <t>Controller</t>
  </si>
  <si>
    <t>Query</t>
  </si>
  <si>
    <t>/queries/search?status={status1,status2}</t>
  </si>
  <si>
    <t>Create a new query</t>
  </si>
  <si>
    <t>Retrieve All queries based on status with latest status log</t>
  </si>
  <si>
    <t>Bulk update of queries</t>
  </si>
  <si>
    <t>Remove all queries</t>
  </si>
  <si>
    <t>QueryDefinition</t>
  </si>
  <si>
    <t>/queries/search?dataframes={dataframe1,dataframe2}&amp;status={status1,status2}</t>
  </si>
  <si>
    <t>/queries/{queryname}/{Version} latest</t>
  </si>
  <si>
    <t>Retrieve the details of query for {queryname}/{Version} - version not mandatory with latest status log</t>
  </si>
  <si>
    <t>Update the details of query definition of {queryname}/{Version} if it exists</t>
  </si>
  <si>
    <t xml:space="preserve">Delete query definition </t>
  </si>
  <si>
    <t>QueryStatus</t>
  </si>
  <si>
    <t>/queries/{queryname}/{Version}/status</t>
  </si>
  <si>
    <t>Create a new status for the query- Approve query</t>
  </si>
  <si>
    <t>Retrieve the details of query with full status log {queryname}/{Version}</t>
  </si>
  <si>
    <t>Update the logmessage column of query status</t>
  </si>
  <si>
    <t>Delete query definition status 1</t>
  </si>
  <si>
    <t>QueryMeta</t>
  </si>
  <si>
    <t>/queries/{queryname}/{Version}/metadata</t>
  </si>
  <si>
    <t>Create Query output,join and filter</t>
  </si>
  <si>
    <t>Get all meta data information about a query</t>
  </si>
  <si>
    <t>/queries/{queryName}/{Version}/metadata/queryJoin</t>
  </si>
  <si>
    <t>Create query join for a query</t>
  </si>
  <si>
    <t>Get query join for a query</t>
  </si>
  <si>
    <t>Update query join for a query</t>
  </si>
  <si>
    <t>/queries/{queryName}/{Version}/metadata/queryFilter</t>
  </si>
  <si>
    <t>Create a filter for a query</t>
  </si>
  <si>
    <t>Get filter for a  query</t>
  </si>
  <si>
    <t>Update filter for a query</t>
  </si>
  <si>
    <t>/queries/{queryName}/{Version}/metadata/queryOutput</t>
  </si>
  <si>
    <t>Create an output for a query</t>
  </si>
  <si>
    <t>Get output for a query</t>
  </si>
  <si>
    <t>Update output for a query</t>
  </si>
  <si>
    <t>Create schema for a  query by passing join,filter and output as parameter in a single model</t>
  </si>
  <si>
    <t>Get schema for a query</t>
  </si>
  <si>
    <t>Update schema for a query</t>
  </si>
  <si>
    <t>QuerySchema</t>
  </si>
  <si>
    <t>/queries/{queryName}/{version}/available?asofdate={}&amp;period{}&amp;region={}</t>
  </si>
  <si>
    <t>Does query have results available for given as-of-date, period, region</t>
  </si>
  <si>
    <t>QueryReadiness</t>
  </si>
  <si>
    <t>/queries/{queryname}/{Version}/subscription</t>
  </si>
  <si>
    <t>Create a new permission for the query</t>
  </si>
  <si>
    <t>Retrive permission of query {queryname}/{Version}</t>
  </si>
  <si>
    <t>Delete permission of query {queryname}/{Version}</t>
  </si>
  <si>
    <t>QuerySubscription</t>
  </si>
  <si>
    <t>/queries/{queryname}/{version}/download</t>
  </si>
  <si>
    <t>Download query and evidences in a  zip file with signature</t>
  </si>
  <si>
    <t>QueryDownload</t>
  </si>
  <si>
    <t>/queries/{queryname}/{version}/upload</t>
  </si>
  <si>
    <t>Validate signature and extract zip file</t>
  </si>
  <si>
    <t>QueryUpload</t>
  </si>
  <si>
    <t>DataFrames</t>
  </si>
  <si>
    <t>Get all dataframes based on datasetType and dataClass</t>
  </si>
  <si>
    <t>DataFrameMeta</t>
  </si>
  <si>
    <t>Error</t>
  </si>
  <si>
    <t>Retrieve the details of dataframe</t>
  </si>
  <si>
    <t>/dataframes/{dataFrameName}/queries</t>
  </si>
  <si>
    <t>Retrieve all queries using {dataFrameName}</t>
  </si>
  <si>
    <t>DataFrameQuery</t>
  </si>
  <si>
    <t>/dataframes/{dataFrameName}/data</t>
  </si>
  <si>
    <t>Read pq file from datalake  max asofdate,region,period - Security?</t>
  </si>
  <si>
    <t>Requests</t>
  </si>
  <si>
    <t xml:space="preserve">execute a new query ? GET </t>
  </si>
  <si>
    <t>returns list of request IDs along with status of request (in-progress, completed, failed)</t>
  </si>
  <si>
    <t>Bulk update of query instances</t>
  </si>
  <si>
    <t>Remove all query instances</t>
  </si>
  <si>
    <t>Request</t>
  </si>
  <si>
    <t>/requests/{queryName}/{Version}</t>
  </si>
  <si>
    <t>Return list of exection evidence with status</t>
  </si>
  <si>
    <t>RequestMeta</t>
  </si>
  <si>
    <t>/requests/{queryName}/{Version}/status</t>
  </si>
  <si>
    <t>Return details of query instance status log</t>
  </si>
  <si>
    <t>/notification/ &lt;Yet to finalize&gt;</t>
  </si>
  <si>
    <t>DataClass</t>
  </si>
  <si>
    <t>Return list of dataclasses active</t>
  </si>
  <si>
    <t>DatasetType</t>
  </si>
  <si>
    <t>/datasetType?dataclass={dataclass1, dataclass2}</t>
  </si>
  <si>
    <t>Return list of datasetTypes based on dataClass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</si>
</sst>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0"/>
      <color theme="1"/>
      <name val="Segoe U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right" vertical="center" wrapText="1"/>
    </xf>
    <xf numFmtId="9" fontId="2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1" fillId="7" borderId="0" xfId="0" applyFont="1" applyFill="1"/>
    <xf numFmtId="0" fontId="1" fillId="5" borderId="0" xfId="0" applyFont="1" applyFill="1"/>
    <xf numFmtId="0" fontId="1" fillId="7" borderId="2" xfId="0" applyFont="1" applyFill="1" applyBorder="1"/>
    <xf numFmtId="0" fontId="1" fillId="5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0" fontId="6" fillId="5" borderId="2" xfId="0" applyFont="1" applyFill="1" applyBorder="1"/>
    <xf numFmtId="0" fontId="6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8" fillId="0" borderId="2" xfId="1" quotePrefix="1" applyBorder="1" applyAlignment="1">
      <alignment horizontal="left" vertical="top" wrapText="1"/>
    </xf>
    <xf numFmtId="0" fontId="8" fillId="0" borderId="2" xfId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8" fillId="0" borderId="2" xfId="1" applyBorder="1" applyAlignment="1">
      <alignment horizontal="left"/>
    </xf>
    <xf numFmtId="0" fontId="8" fillId="0" borderId="2" xfId="1" applyBorder="1"/>
    <xf numFmtId="0" fontId="0" fillId="0" borderId="2" xfId="0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2" xfId="0" applyFont="1" applyFill="1" applyBorder="1"/>
    <xf numFmtId="0" fontId="3" fillId="0" borderId="2" xfId="0" applyFont="1" applyBorder="1" applyAlignment="1">
      <alignment vertical="top" wrapText="1"/>
    </xf>
    <xf numFmtId="0" fontId="1" fillId="4" borderId="6" xfId="0" applyFont="1" applyFill="1" applyBorder="1"/>
    <xf numFmtId="0" fontId="1" fillId="7" borderId="6" xfId="0" applyFont="1" applyFill="1" applyBorder="1"/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/>
    <xf numFmtId="0" fontId="6" fillId="7" borderId="5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1" fillId="0" borderId="2" xfId="0" applyFont="1" applyBorder="1"/>
    <xf numFmtId="0" fontId="1" fillId="3" borderId="2" xfId="0" applyFont="1" applyFill="1" applyBorder="1" applyAlignment="1">
      <alignment vertical="center" wrapText="1"/>
    </xf>
    <xf numFmtId="0" fontId="8" fillId="0" borderId="0" xfId="1" applyAlignment="1">
      <alignment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1436-5EA5-4EF0-AB0A-5FCA7E06918C}">
  <dimension ref="A1:N92"/>
  <sheetViews>
    <sheetView tabSelected="1" workbookViewId="0">
      <selection activeCell="E1" sqref="E1:E1048576"/>
    </sheetView>
  </sheetViews>
  <sheetFormatPr defaultColWidth="9.140625" defaultRowHeight="14.45"/>
  <cols>
    <col min="1" max="1" width="9.140625" style="31"/>
    <col min="2" max="2" width="25.28515625" style="37" customWidth="1"/>
    <col min="3" max="3" width="21.42578125" style="31" customWidth="1"/>
    <col min="4" max="4" width="17.28515625" style="37" customWidth="1"/>
    <col min="5" max="5" width="56.42578125" style="31" customWidth="1"/>
    <col min="6" max="6" width="28" style="31" customWidth="1"/>
    <col min="7" max="7" width="15.140625" style="31" hidden="1" customWidth="1"/>
    <col min="8" max="8" width="26.5703125" style="31" customWidth="1"/>
    <col min="9" max="9" width="11.5703125" style="31" customWidth="1"/>
    <col min="10" max="10" width="13.140625" style="31" customWidth="1"/>
    <col min="11" max="11" width="15.85546875" style="31" customWidth="1"/>
    <col min="12" max="13" width="11.5703125" style="31" customWidth="1"/>
    <col min="14" max="16384" width="9.140625" style="31"/>
  </cols>
  <sheetData>
    <row r="1" spans="1:14" s="28" customFormat="1" ht="50.25" customHeight="1">
      <c r="A1" s="38" t="s">
        <v>0</v>
      </c>
      <c r="B1" s="25" t="s">
        <v>1</v>
      </c>
      <c r="C1" s="26" t="s">
        <v>2</v>
      </c>
      <c r="D1" s="25" t="s">
        <v>3</v>
      </c>
      <c r="E1" s="26" t="s">
        <v>4</v>
      </c>
      <c r="F1" s="27" t="s">
        <v>5</v>
      </c>
      <c r="G1" s="26" t="s">
        <v>6</v>
      </c>
      <c r="H1" s="26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26" t="s">
        <v>13</v>
      </c>
    </row>
    <row r="2" spans="1:14" s="46" customFormat="1" ht="48">
      <c r="A2" s="43">
        <v>1</v>
      </c>
      <c r="B2" s="44" t="s">
        <v>14</v>
      </c>
      <c r="C2" s="44" t="s">
        <v>15</v>
      </c>
      <c r="D2" s="44" t="s">
        <v>16</v>
      </c>
      <c r="E2" s="45"/>
      <c r="F2" s="45" t="s">
        <v>17</v>
      </c>
      <c r="H2" s="44"/>
      <c r="I2" s="46">
        <f>SUM(I3:I9)/4</f>
        <v>75</v>
      </c>
      <c r="J2" s="46">
        <f>SUM(J3:J9)/4</f>
        <v>62.5</v>
      </c>
    </row>
    <row r="3" spans="1:14" ht="15.95">
      <c r="A3" s="58"/>
      <c r="B3" s="58"/>
      <c r="C3" s="58"/>
      <c r="D3" s="58"/>
      <c r="E3" s="47" t="s">
        <v>18</v>
      </c>
      <c r="F3" s="58"/>
      <c r="G3" s="30"/>
      <c r="H3" s="32" t="s">
        <v>19</v>
      </c>
      <c r="I3" s="31">
        <v>100</v>
      </c>
      <c r="J3" s="31">
        <v>100</v>
      </c>
      <c r="K3" s="31">
        <v>100</v>
      </c>
    </row>
    <row r="4" spans="1:14" ht="29.1">
      <c r="A4" s="58"/>
      <c r="B4" s="58"/>
      <c r="C4" s="58"/>
      <c r="D4" s="58"/>
      <c r="E4" s="47" t="s">
        <v>20</v>
      </c>
      <c r="F4" s="58"/>
      <c r="G4" s="30"/>
      <c r="H4" s="33" t="s">
        <v>21</v>
      </c>
      <c r="I4" s="31">
        <v>100</v>
      </c>
      <c r="J4" s="31">
        <v>75</v>
      </c>
      <c r="K4" s="31">
        <v>100</v>
      </c>
    </row>
    <row r="5" spans="1:14" ht="32.1">
      <c r="A5" s="58"/>
      <c r="B5" s="58"/>
      <c r="C5" s="58"/>
      <c r="D5" s="58"/>
      <c r="E5" s="47" t="s">
        <v>22</v>
      </c>
      <c r="F5" s="58"/>
      <c r="G5" s="30"/>
      <c r="H5" s="33" t="s">
        <v>23</v>
      </c>
      <c r="I5" s="31">
        <v>100</v>
      </c>
      <c r="J5" s="31">
        <v>75</v>
      </c>
      <c r="K5" s="31">
        <v>100</v>
      </c>
    </row>
    <row r="6" spans="1:14" ht="29.1">
      <c r="A6" s="58"/>
      <c r="B6" s="58"/>
      <c r="C6" s="58"/>
      <c r="D6" s="58"/>
      <c r="E6" s="47" t="s">
        <v>24</v>
      </c>
      <c r="F6" s="58"/>
      <c r="G6" s="30"/>
      <c r="H6" s="56" t="s">
        <v>25</v>
      </c>
      <c r="J6" s="31">
        <v>0</v>
      </c>
      <c r="L6" s="31">
        <v>0.5</v>
      </c>
      <c r="M6" s="31">
        <f>2+2</f>
        <v>4</v>
      </c>
    </row>
    <row r="7" spans="1:14" ht="32.1">
      <c r="A7" s="58"/>
      <c r="B7" s="58"/>
      <c r="C7" s="58"/>
      <c r="D7" s="58"/>
      <c r="E7" s="47" t="s">
        <v>26</v>
      </c>
      <c r="F7" s="58"/>
      <c r="G7" s="30"/>
      <c r="H7" s="29"/>
      <c r="L7" s="31">
        <v>0.5</v>
      </c>
      <c r="M7" s="31">
        <v>0.25</v>
      </c>
    </row>
    <row r="8" spans="1:14" ht="29.1">
      <c r="A8" s="58"/>
      <c r="B8" s="58"/>
      <c r="C8" s="58"/>
      <c r="D8" s="58"/>
      <c r="E8" s="47" t="s">
        <v>27</v>
      </c>
      <c r="F8" s="58"/>
      <c r="G8" s="30"/>
      <c r="H8" s="33" t="s">
        <v>28</v>
      </c>
      <c r="J8" s="31">
        <v>0</v>
      </c>
      <c r="L8" s="31">
        <v>1</v>
      </c>
      <c r="M8" s="31">
        <v>5</v>
      </c>
    </row>
    <row r="9" spans="1:14" ht="15.95">
      <c r="A9" s="58"/>
      <c r="B9" s="58"/>
      <c r="C9" s="58"/>
      <c r="D9" s="58"/>
      <c r="E9" s="47" t="s">
        <v>29</v>
      </c>
      <c r="F9" s="58"/>
      <c r="G9" s="30"/>
      <c r="H9" s="29"/>
      <c r="L9" s="31">
        <v>1</v>
      </c>
      <c r="M9" s="31">
        <v>1.5</v>
      </c>
    </row>
    <row r="10" spans="1:14" s="42" customFormat="1" ht="57.95">
      <c r="A10" s="39">
        <v>2</v>
      </c>
      <c r="B10" s="40" t="s">
        <v>30</v>
      </c>
      <c r="C10" s="40" t="s">
        <v>31</v>
      </c>
      <c r="D10" s="40" t="s">
        <v>32</v>
      </c>
      <c r="E10" s="41"/>
      <c r="F10" s="41" t="s">
        <v>33</v>
      </c>
      <c r="H10" s="40"/>
      <c r="J10" s="42">
        <v>0</v>
      </c>
    </row>
    <row r="11" spans="1:14" ht="29.1">
      <c r="A11" s="58"/>
      <c r="B11" s="58"/>
      <c r="C11" s="58"/>
      <c r="D11" s="58"/>
      <c r="E11" s="30" t="s">
        <v>34</v>
      </c>
      <c r="F11" s="58"/>
      <c r="G11" s="58"/>
      <c r="H11" s="34"/>
      <c r="I11" s="34"/>
      <c r="L11" s="59">
        <v>2</v>
      </c>
    </row>
    <row r="12" spans="1:14">
      <c r="A12" s="58"/>
      <c r="B12" s="58"/>
      <c r="C12" s="58"/>
      <c r="D12" s="58"/>
      <c r="E12" s="30" t="s">
        <v>35</v>
      </c>
      <c r="F12" s="58"/>
      <c r="G12" s="58"/>
      <c r="H12" s="34"/>
      <c r="I12" s="34"/>
      <c r="L12" s="60"/>
    </row>
    <row r="13" spans="1:14" ht="29.1">
      <c r="A13" s="58"/>
      <c r="B13" s="58"/>
      <c r="C13" s="58"/>
      <c r="D13" s="58"/>
      <c r="E13" s="29" t="s">
        <v>36</v>
      </c>
      <c r="F13" s="58"/>
      <c r="G13" s="58"/>
      <c r="H13" s="34"/>
      <c r="L13" s="60"/>
    </row>
    <row r="14" spans="1:14">
      <c r="A14" s="58"/>
      <c r="B14" s="58"/>
      <c r="C14" s="58"/>
      <c r="D14" s="58"/>
      <c r="E14" s="29" t="s">
        <v>37</v>
      </c>
      <c r="F14" s="58"/>
      <c r="G14" s="58"/>
      <c r="H14" s="34"/>
      <c r="L14" s="60"/>
    </row>
    <row r="15" spans="1:14">
      <c r="A15" s="58"/>
      <c r="B15" s="58"/>
      <c r="C15" s="58"/>
      <c r="D15" s="58"/>
      <c r="E15" s="29" t="s">
        <v>38</v>
      </c>
      <c r="F15" s="58"/>
      <c r="G15" s="58"/>
      <c r="H15" s="34"/>
      <c r="L15" s="61"/>
    </row>
    <row r="16" spans="1:14" ht="29.1">
      <c r="A16" s="58"/>
      <c r="B16" s="58"/>
      <c r="C16" s="58"/>
      <c r="D16" s="58"/>
      <c r="E16" s="29" t="s">
        <v>39</v>
      </c>
      <c r="F16" s="58"/>
      <c r="G16" s="58"/>
      <c r="H16" s="34"/>
      <c r="L16" s="31">
        <v>0.5</v>
      </c>
    </row>
    <row r="17" spans="1:13" ht="15.75" customHeight="1">
      <c r="A17" s="58"/>
      <c r="B17" s="58"/>
      <c r="C17" s="58"/>
      <c r="D17" s="58"/>
      <c r="E17" s="29" t="s">
        <v>40</v>
      </c>
      <c r="F17" s="58"/>
      <c r="G17" s="58"/>
      <c r="H17" s="34"/>
      <c r="L17" s="31">
        <v>1</v>
      </c>
    </row>
    <row r="18" spans="1:13">
      <c r="A18" s="58"/>
      <c r="B18" s="58"/>
      <c r="C18" s="58"/>
      <c r="D18" s="58"/>
      <c r="E18" s="29" t="s">
        <v>41</v>
      </c>
      <c r="F18" s="58"/>
      <c r="G18" s="58"/>
      <c r="H18" s="34"/>
      <c r="L18" s="31">
        <v>1</v>
      </c>
    </row>
    <row r="19" spans="1:13" ht="29.1">
      <c r="A19" s="58"/>
      <c r="B19" s="58"/>
      <c r="C19" s="58"/>
      <c r="D19" s="58"/>
      <c r="E19" s="29" t="s">
        <v>42</v>
      </c>
      <c r="F19" s="58"/>
      <c r="G19" s="58"/>
      <c r="H19" s="34"/>
      <c r="L19" s="31">
        <v>0.5</v>
      </c>
    </row>
    <row r="20" spans="1:13" ht="15.75" customHeight="1">
      <c r="A20" s="58"/>
      <c r="B20" s="58"/>
      <c r="C20" s="58"/>
      <c r="D20" s="58"/>
      <c r="E20" s="29" t="s">
        <v>43</v>
      </c>
      <c r="F20" s="58"/>
      <c r="G20" s="58"/>
      <c r="H20" s="35" t="s">
        <v>44</v>
      </c>
      <c r="J20" s="31">
        <v>0</v>
      </c>
      <c r="L20" s="31">
        <v>2</v>
      </c>
      <c r="M20" s="31">
        <v>2</v>
      </c>
    </row>
    <row r="21" spans="1:13" s="42" customFormat="1" ht="57.95">
      <c r="A21" s="39">
        <v>3</v>
      </c>
      <c r="B21" s="40" t="s">
        <v>30</v>
      </c>
      <c r="C21" s="40" t="s">
        <v>31</v>
      </c>
      <c r="D21" s="40" t="s">
        <v>32</v>
      </c>
      <c r="E21" s="41" t="s">
        <v>45</v>
      </c>
      <c r="F21" s="41" t="s">
        <v>33</v>
      </c>
      <c r="H21" s="40"/>
    </row>
    <row r="22" spans="1:13">
      <c r="A22" s="58"/>
      <c r="B22" s="58"/>
      <c r="C22" s="58"/>
      <c r="D22" s="58"/>
      <c r="E22" s="30" t="s">
        <v>46</v>
      </c>
      <c r="F22" s="58"/>
      <c r="G22" s="58"/>
      <c r="L22" s="59">
        <v>1</v>
      </c>
    </row>
    <row r="23" spans="1:13">
      <c r="A23" s="58"/>
      <c r="B23" s="58"/>
      <c r="C23" s="58"/>
      <c r="D23" s="58"/>
      <c r="E23" s="30" t="s">
        <v>35</v>
      </c>
      <c r="F23" s="58"/>
      <c r="G23" s="58"/>
      <c r="L23" s="60"/>
    </row>
    <row r="24" spans="1:13" ht="29.1">
      <c r="A24" s="58"/>
      <c r="B24" s="58"/>
      <c r="C24" s="58"/>
      <c r="D24" s="58"/>
      <c r="E24" s="30" t="s">
        <v>36</v>
      </c>
      <c r="F24" s="58"/>
      <c r="G24" s="58"/>
      <c r="L24" s="60"/>
    </row>
    <row r="25" spans="1:13">
      <c r="A25" s="58"/>
      <c r="B25" s="58"/>
      <c r="C25" s="58"/>
      <c r="D25" s="58"/>
      <c r="E25" s="30" t="s">
        <v>38</v>
      </c>
      <c r="F25" s="58"/>
      <c r="G25" s="58"/>
      <c r="L25" s="61"/>
    </row>
    <row r="26" spans="1:13" ht="29.1">
      <c r="A26" s="58"/>
      <c r="B26" s="58"/>
      <c r="C26" s="58"/>
      <c r="D26" s="58"/>
      <c r="E26" s="30" t="s">
        <v>39</v>
      </c>
      <c r="F26" s="58"/>
      <c r="G26" s="58"/>
      <c r="L26" s="31">
        <v>1</v>
      </c>
    </row>
    <row r="27" spans="1:13">
      <c r="A27" s="58"/>
      <c r="B27" s="58"/>
      <c r="C27" s="58"/>
      <c r="D27" s="58"/>
      <c r="E27" s="30" t="s">
        <v>40</v>
      </c>
      <c r="F27" s="58"/>
      <c r="G27" s="58"/>
      <c r="L27" s="31">
        <v>0</v>
      </c>
    </row>
    <row r="28" spans="1:13">
      <c r="A28" s="58"/>
      <c r="B28" s="58"/>
      <c r="C28" s="58"/>
      <c r="D28" s="58"/>
      <c r="E28" s="30" t="s">
        <v>41</v>
      </c>
      <c r="F28" s="58"/>
      <c r="G28" s="58"/>
      <c r="L28" s="31">
        <v>0</v>
      </c>
    </row>
    <row r="29" spans="1:13" ht="29.1">
      <c r="A29" s="58"/>
      <c r="B29" s="58"/>
      <c r="C29" s="58"/>
      <c r="D29" s="58"/>
      <c r="E29" s="30" t="s">
        <v>42</v>
      </c>
      <c r="F29" s="58"/>
      <c r="G29" s="58"/>
      <c r="L29" s="31">
        <v>0</v>
      </c>
    </row>
    <row r="30" spans="1:13" ht="29.1">
      <c r="A30" s="58"/>
      <c r="B30" s="58"/>
      <c r="C30" s="58"/>
      <c r="D30" s="58"/>
      <c r="E30" s="30" t="s">
        <v>47</v>
      </c>
      <c r="F30" s="58"/>
      <c r="G30" s="58"/>
      <c r="H30" s="36" t="s">
        <v>48</v>
      </c>
      <c r="J30" s="31">
        <v>50</v>
      </c>
      <c r="L30" s="31">
        <v>1</v>
      </c>
    </row>
    <row r="31" spans="1:13" ht="29.1">
      <c r="A31" s="58"/>
      <c r="B31" s="58"/>
      <c r="C31" s="58"/>
      <c r="D31" s="58"/>
      <c r="E31" s="30" t="s">
        <v>49</v>
      </c>
      <c r="F31" s="58"/>
      <c r="G31" s="58"/>
      <c r="L31" s="31">
        <v>1</v>
      </c>
    </row>
    <row r="32" spans="1:13">
      <c r="A32" s="58"/>
      <c r="B32" s="58"/>
      <c r="C32" s="58"/>
      <c r="D32" s="58"/>
      <c r="E32" s="30" t="s">
        <v>50</v>
      </c>
      <c r="F32" s="58"/>
      <c r="G32" s="58"/>
      <c r="H32" s="35" t="s">
        <v>44</v>
      </c>
      <c r="J32" s="31">
        <v>0</v>
      </c>
      <c r="L32" s="31">
        <v>2</v>
      </c>
    </row>
    <row r="33" spans="1:12">
      <c r="A33" s="58"/>
      <c r="B33" s="58"/>
      <c r="C33" s="58"/>
      <c r="D33" s="58"/>
      <c r="E33" s="30"/>
      <c r="F33" s="58"/>
      <c r="G33" s="58"/>
    </row>
    <row r="34" spans="1:12" s="42" customFormat="1" ht="87">
      <c r="A34" s="39">
        <v>4</v>
      </c>
      <c r="B34" s="40" t="s">
        <v>51</v>
      </c>
      <c r="C34" s="40" t="s">
        <v>52</v>
      </c>
      <c r="D34" s="40" t="s">
        <v>53</v>
      </c>
      <c r="E34" s="41"/>
      <c r="F34" s="41" t="s">
        <v>54</v>
      </c>
      <c r="H34" s="40"/>
    </row>
    <row r="35" spans="1:12" ht="29.1">
      <c r="A35" s="57"/>
      <c r="B35" s="57"/>
      <c r="C35" s="57"/>
      <c r="D35" s="57"/>
      <c r="E35" s="30" t="s">
        <v>55</v>
      </c>
      <c r="F35" s="57"/>
      <c r="G35" s="57"/>
      <c r="L35" s="59">
        <v>1.5</v>
      </c>
    </row>
    <row r="36" spans="1:12" ht="43.5">
      <c r="A36" s="57"/>
      <c r="B36" s="57"/>
      <c r="C36" s="57"/>
      <c r="D36" s="57"/>
      <c r="E36" s="30" t="s">
        <v>56</v>
      </c>
      <c r="F36" s="57"/>
      <c r="G36" s="57"/>
      <c r="L36" s="60"/>
    </row>
    <row r="37" spans="1:12" ht="29.1">
      <c r="A37" s="57"/>
      <c r="B37" s="57"/>
      <c r="C37" s="57"/>
      <c r="D37" s="57"/>
      <c r="E37" s="30" t="s">
        <v>57</v>
      </c>
      <c r="F37" s="57"/>
      <c r="G37" s="57"/>
      <c r="L37" s="60"/>
    </row>
    <row r="38" spans="1:12">
      <c r="A38" s="57"/>
      <c r="B38" s="57"/>
      <c r="C38" s="57"/>
      <c r="D38" s="57"/>
      <c r="E38" s="30" t="s">
        <v>58</v>
      </c>
      <c r="F38" s="57"/>
      <c r="G38" s="57"/>
      <c r="L38" s="60"/>
    </row>
    <row r="39" spans="1:12">
      <c r="A39" s="57"/>
      <c r="B39" s="57"/>
      <c r="C39" s="57"/>
      <c r="D39" s="57"/>
      <c r="E39" s="30" t="s">
        <v>59</v>
      </c>
      <c r="F39" s="57"/>
      <c r="G39" s="57"/>
      <c r="L39" s="60"/>
    </row>
    <row r="40" spans="1:12">
      <c r="A40" s="57"/>
      <c r="B40" s="57"/>
      <c r="C40" s="57"/>
      <c r="D40" s="57"/>
      <c r="E40" s="30" t="s">
        <v>60</v>
      </c>
      <c r="F40" s="57"/>
      <c r="G40" s="57"/>
      <c r="H40" s="35" t="s">
        <v>44</v>
      </c>
      <c r="J40" s="31">
        <v>0</v>
      </c>
      <c r="L40" s="61"/>
    </row>
    <row r="41" spans="1:12" s="42" customFormat="1" ht="72.599999999999994">
      <c r="A41" s="39">
        <v>5</v>
      </c>
      <c r="B41" s="40" t="s">
        <v>61</v>
      </c>
      <c r="C41" s="40" t="s">
        <v>62</v>
      </c>
      <c r="D41" s="40" t="s">
        <v>63</v>
      </c>
      <c r="E41" s="41"/>
      <c r="F41" s="41" t="s">
        <v>64</v>
      </c>
      <c r="H41" s="40"/>
    </row>
    <row r="42" spans="1:12">
      <c r="A42" s="57"/>
      <c r="B42" s="57"/>
      <c r="C42" s="57"/>
      <c r="D42" s="57"/>
      <c r="E42" s="37" t="s">
        <v>65</v>
      </c>
      <c r="F42" s="57"/>
      <c r="G42" s="57"/>
      <c r="L42" s="59">
        <v>1.5</v>
      </c>
    </row>
    <row r="43" spans="1:12">
      <c r="A43" s="57"/>
      <c r="B43" s="57"/>
      <c r="C43" s="57"/>
      <c r="D43" s="57"/>
      <c r="E43" s="37" t="s">
        <v>66</v>
      </c>
      <c r="F43" s="57"/>
      <c r="G43" s="57"/>
      <c r="L43" s="60"/>
    </row>
    <row r="44" spans="1:12" ht="57.95">
      <c r="A44" s="57"/>
      <c r="B44" s="57"/>
      <c r="C44" s="57"/>
      <c r="D44" s="57"/>
      <c r="E44" s="37" t="s">
        <v>67</v>
      </c>
      <c r="F44" s="57"/>
      <c r="G44" s="57"/>
      <c r="H44" s="36" t="s">
        <v>68</v>
      </c>
      <c r="J44" s="31">
        <v>100</v>
      </c>
      <c r="L44" s="60"/>
    </row>
    <row r="45" spans="1:12" ht="57.95">
      <c r="A45" s="57"/>
      <c r="B45" s="57"/>
      <c r="C45" s="57"/>
      <c r="D45" s="57"/>
      <c r="E45" s="37" t="s">
        <v>69</v>
      </c>
      <c r="F45" s="57"/>
      <c r="G45" s="57"/>
      <c r="H45" s="36" t="s">
        <v>68</v>
      </c>
      <c r="J45" s="31">
        <v>100</v>
      </c>
      <c r="L45" s="60"/>
    </row>
    <row r="46" spans="1:12" ht="57.95">
      <c r="A46" s="57"/>
      <c r="B46" s="57"/>
      <c r="C46" s="57"/>
      <c r="D46" s="57"/>
      <c r="E46" s="37" t="s">
        <v>70</v>
      </c>
      <c r="F46" s="57"/>
      <c r="G46" s="57"/>
      <c r="L46" s="60"/>
    </row>
    <row r="47" spans="1:12" ht="43.5">
      <c r="A47" s="57"/>
      <c r="B47" s="57"/>
      <c r="C47" s="57"/>
      <c r="D47" s="57"/>
      <c r="E47" s="37" t="s">
        <v>71</v>
      </c>
      <c r="F47" s="57"/>
      <c r="G47" s="57"/>
      <c r="L47" s="60"/>
    </row>
    <row r="48" spans="1:12">
      <c r="A48" s="57"/>
      <c r="B48" s="57"/>
      <c r="C48" s="57"/>
      <c r="D48" s="57"/>
      <c r="E48" s="37" t="s">
        <v>72</v>
      </c>
      <c r="F48" s="57"/>
      <c r="G48" s="57"/>
      <c r="L48" s="60"/>
    </row>
    <row r="49" spans="1:12">
      <c r="A49" s="57"/>
      <c r="B49" s="57"/>
      <c r="C49" s="57"/>
      <c r="D49" s="57"/>
      <c r="E49" s="37" t="s">
        <v>73</v>
      </c>
      <c r="F49" s="57"/>
      <c r="G49" s="57"/>
      <c r="H49" s="35" t="s">
        <v>44</v>
      </c>
      <c r="J49" s="31">
        <v>0</v>
      </c>
      <c r="L49" s="61"/>
    </row>
    <row r="50" spans="1:12" s="42" customFormat="1" ht="72.599999999999994">
      <c r="A50" s="39">
        <v>6</v>
      </c>
      <c r="B50" s="40" t="s">
        <v>74</v>
      </c>
      <c r="C50" s="40" t="s">
        <v>75</v>
      </c>
      <c r="D50" s="40" t="s">
        <v>76</v>
      </c>
      <c r="E50" s="41"/>
      <c r="F50" s="41" t="s">
        <v>77</v>
      </c>
      <c r="H50" s="40"/>
    </row>
    <row r="51" spans="1:12">
      <c r="A51" s="57"/>
      <c r="B51" s="57"/>
      <c r="C51" s="57"/>
      <c r="D51" s="57"/>
      <c r="E51" s="31" t="s">
        <v>78</v>
      </c>
      <c r="F51" s="57"/>
      <c r="G51" s="57"/>
      <c r="L51" s="59">
        <v>2.5</v>
      </c>
    </row>
    <row r="52" spans="1:12">
      <c r="A52" s="57"/>
      <c r="B52" s="57"/>
      <c r="C52" s="57"/>
      <c r="D52" s="57"/>
      <c r="E52" s="31" t="s">
        <v>79</v>
      </c>
      <c r="F52" s="57"/>
      <c r="G52" s="57"/>
      <c r="L52" s="60"/>
    </row>
    <row r="53" spans="1:12">
      <c r="A53" s="57"/>
      <c r="B53" s="57"/>
      <c r="C53" s="57"/>
      <c r="D53" s="57"/>
      <c r="E53" s="31" t="s">
        <v>80</v>
      </c>
      <c r="F53" s="57"/>
      <c r="G53" s="57"/>
      <c r="L53" s="60"/>
    </row>
    <row r="54" spans="1:12">
      <c r="A54" s="57"/>
      <c r="B54" s="57"/>
      <c r="C54" s="57"/>
      <c r="D54" s="57"/>
      <c r="E54" s="31" t="s">
        <v>81</v>
      </c>
      <c r="F54" s="57"/>
      <c r="G54" s="57"/>
      <c r="L54" s="60"/>
    </row>
    <row r="55" spans="1:12">
      <c r="A55" s="57"/>
      <c r="B55" s="57"/>
      <c r="C55" s="57"/>
      <c r="D55" s="57"/>
      <c r="E55" s="31" t="s">
        <v>82</v>
      </c>
      <c r="F55" s="57"/>
      <c r="G55" s="57"/>
      <c r="L55" s="60"/>
    </row>
    <row r="56" spans="1:12">
      <c r="A56" s="57"/>
      <c r="B56" s="57"/>
      <c r="C56" s="57"/>
      <c r="D56" s="57"/>
      <c r="E56" s="31" t="s">
        <v>83</v>
      </c>
      <c r="F56" s="57"/>
      <c r="G56" s="57"/>
      <c r="L56" s="60"/>
    </row>
    <row r="57" spans="1:12">
      <c r="A57" s="57"/>
      <c r="B57" s="57"/>
      <c r="C57" s="57"/>
      <c r="D57" s="57"/>
      <c r="E57" s="31" t="s">
        <v>84</v>
      </c>
      <c r="F57" s="57"/>
      <c r="G57" s="57"/>
      <c r="L57" s="60"/>
    </row>
    <row r="58" spans="1:12">
      <c r="A58" s="57"/>
      <c r="B58" s="57"/>
      <c r="C58" s="57"/>
      <c r="D58" s="57"/>
      <c r="E58" s="31" t="s">
        <v>85</v>
      </c>
      <c r="F58" s="57"/>
      <c r="G58" s="57"/>
      <c r="L58" s="60"/>
    </row>
    <row r="59" spans="1:12">
      <c r="A59" s="57"/>
      <c r="B59" s="57"/>
      <c r="C59" s="57"/>
      <c r="D59" s="57"/>
      <c r="E59" s="31" t="s">
        <v>86</v>
      </c>
      <c r="F59" s="57"/>
      <c r="G59" s="57"/>
      <c r="L59" s="61"/>
    </row>
    <row r="60" spans="1:12" s="42" customFormat="1" ht="72.599999999999994">
      <c r="A60" s="39">
        <v>7</v>
      </c>
      <c r="B60" s="40" t="s">
        <v>87</v>
      </c>
      <c r="C60" s="40" t="s">
        <v>88</v>
      </c>
      <c r="D60" s="40" t="s">
        <v>89</v>
      </c>
      <c r="E60" s="41"/>
      <c r="F60" s="41" t="s">
        <v>90</v>
      </c>
      <c r="H60" s="40"/>
    </row>
    <row r="61" spans="1:12">
      <c r="A61" s="57"/>
      <c r="B61" s="57"/>
      <c r="C61" s="57"/>
      <c r="D61" s="57"/>
      <c r="E61" s="31" t="s">
        <v>55</v>
      </c>
      <c r="F61" s="57"/>
      <c r="G61" s="57"/>
      <c r="L61" s="59">
        <v>1.5</v>
      </c>
    </row>
    <row r="62" spans="1:12">
      <c r="A62" s="57"/>
      <c r="B62" s="57"/>
      <c r="C62" s="57"/>
      <c r="D62" s="57"/>
      <c r="E62" s="31" t="s">
        <v>91</v>
      </c>
      <c r="F62" s="57"/>
      <c r="G62" s="57"/>
      <c r="L62" s="60"/>
    </row>
    <row r="63" spans="1:12">
      <c r="A63" s="57"/>
      <c r="B63" s="57"/>
      <c r="C63" s="57"/>
      <c r="D63" s="57"/>
      <c r="E63" s="31" t="s">
        <v>92</v>
      </c>
      <c r="F63" s="57"/>
      <c r="G63" s="57"/>
      <c r="L63" s="60"/>
    </row>
    <row r="64" spans="1:12">
      <c r="A64" s="57"/>
      <c r="B64" s="57"/>
      <c r="C64" s="57"/>
      <c r="D64" s="57"/>
      <c r="E64" s="31" t="s">
        <v>93</v>
      </c>
      <c r="F64" s="57"/>
      <c r="G64" s="57"/>
      <c r="L64" s="61"/>
    </row>
    <row r="65" spans="1:12" s="42" customFormat="1" ht="43.5">
      <c r="A65" s="39">
        <v>8</v>
      </c>
      <c r="B65" s="40" t="s">
        <v>94</v>
      </c>
      <c r="C65" s="40" t="s">
        <v>95</v>
      </c>
      <c r="D65" s="40" t="s">
        <v>96</v>
      </c>
      <c r="E65" s="41" t="s">
        <v>97</v>
      </c>
      <c r="F65" s="41" t="s">
        <v>98</v>
      </c>
      <c r="H65" s="40"/>
    </row>
    <row r="66" spans="1:12">
      <c r="A66" s="57"/>
      <c r="B66" s="57"/>
      <c r="C66" s="57"/>
      <c r="D66" s="57"/>
      <c r="E66" s="31" t="s">
        <v>55</v>
      </c>
      <c r="F66" s="57"/>
      <c r="G66" s="57"/>
      <c r="L66" s="59">
        <v>2</v>
      </c>
    </row>
    <row r="67" spans="1:12">
      <c r="A67" s="57"/>
      <c r="B67" s="57"/>
      <c r="C67" s="57"/>
      <c r="D67" s="57"/>
      <c r="E67" s="31" t="s">
        <v>99</v>
      </c>
      <c r="F67" s="57"/>
      <c r="G67" s="57"/>
      <c r="L67" s="60"/>
    </row>
    <row r="68" spans="1:12">
      <c r="A68" s="57"/>
      <c r="B68" s="57"/>
      <c r="C68" s="57"/>
      <c r="D68" s="57"/>
      <c r="E68" s="31" t="s">
        <v>100</v>
      </c>
      <c r="F68" s="57"/>
      <c r="G68" s="57"/>
      <c r="L68" s="60"/>
    </row>
    <row r="69" spans="1:12">
      <c r="A69" s="57"/>
      <c r="B69" s="57"/>
      <c r="C69" s="57"/>
      <c r="D69" s="57"/>
      <c r="E69" s="31" t="s">
        <v>101</v>
      </c>
      <c r="F69" s="57"/>
      <c r="G69" s="57"/>
      <c r="L69" s="60"/>
    </row>
    <row r="70" spans="1:12">
      <c r="A70" s="57"/>
      <c r="B70" s="57"/>
      <c r="C70" s="57"/>
      <c r="D70" s="57"/>
      <c r="E70" s="31" t="s">
        <v>102</v>
      </c>
      <c r="F70" s="57"/>
      <c r="G70" s="57"/>
      <c r="L70" s="60"/>
    </row>
    <row r="71" spans="1:12">
      <c r="A71" s="57"/>
      <c r="B71" s="57"/>
      <c r="C71" s="57"/>
      <c r="D71" s="57"/>
      <c r="E71" s="31" t="s">
        <v>103</v>
      </c>
      <c r="F71" s="57"/>
      <c r="G71" s="57"/>
      <c r="L71" s="60"/>
    </row>
    <row r="72" spans="1:12">
      <c r="A72" s="57"/>
      <c r="B72" s="57"/>
      <c r="C72" s="57"/>
      <c r="D72" s="57"/>
      <c r="E72" s="31" t="s">
        <v>104</v>
      </c>
      <c r="F72" s="57"/>
      <c r="G72" s="57"/>
      <c r="L72" s="61"/>
    </row>
    <row r="73" spans="1:12" s="42" customFormat="1" ht="43.5">
      <c r="A73" s="39">
        <v>9</v>
      </c>
      <c r="B73" s="40" t="s">
        <v>105</v>
      </c>
      <c r="C73" s="40" t="s">
        <v>106</v>
      </c>
      <c r="D73" s="40" t="s">
        <v>107</v>
      </c>
      <c r="E73" s="41"/>
      <c r="F73" s="41" t="s">
        <v>108</v>
      </c>
      <c r="H73" s="40"/>
    </row>
    <row r="74" spans="1:12">
      <c r="A74" s="57"/>
      <c r="B74" s="57"/>
      <c r="C74" s="57"/>
      <c r="D74" s="57"/>
      <c r="E74" s="31" t="s">
        <v>109</v>
      </c>
      <c r="F74" s="57"/>
      <c r="G74" s="57"/>
      <c r="L74" s="59">
        <v>1.5</v>
      </c>
    </row>
    <row r="75" spans="1:12">
      <c r="A75" s="57"/>
      <c r="B75" s="57"/>
      <c r="C75" s="57"/>
      <c r="D75" s="57"/>
      <c r="E75" s="31" t="s">
        <v>110</v>
      </c>
      <c r="F75" s="57"/>
      <c r="G75" s="57"/>
      <c r="L75" s="61"/>
    </row>
    <row r="76" spans="1:12">
      <c r="A76" s="57"/>
      <c r="B76" s="57"/>
      <c r="C76" s="57"/>
      <c r="D76" s="57"/>
      <c r="E76" s="31" t="s">
        <v>111</v>
      </c>
      <c r="F76" s="57"/>
      <c r="G76" s="57"/>
      <c r="L76" s="31">
        <v>2</v>
      </c>
    </row>
    <row r="77" spans="1:12">
      <c r="A77" s="57"/>
      <c r="B77" s="57"/>
      <c r="C77" s="57"/>
      <c r="D77" s="57"/>
      <c r="E77" s="31" t="s">
        <v>112</v>
      </c>
      <c r="F77" s="57"/>
      <c r="G77" s="57"/>
      <c r="L77" s="31">
        <v>1</v>
      </c>
    </row>
    <row r="78" spans="1:12" s="42" customFormat="1">
      <c r="A78" s="39">
        <v>10</v>
      </c>
      <c r="B78" s="40" t="s">
        <v>113</v>
      </c>
      <c r="C78" s="40" t="s">
        <v>114</v>
      </c>
      <c r="D78" s="40" t="s">
        <v>107</v>
      </c>
      <c r="E78" s="41"/>
      <c r="F78" s="41" t="s">
        <v>115</v>
      </c>
      <c r="H78" s="40"/>
    </row>
    <row r="79" spans="1:12">
      <c r="A79" s="57"/>
      <c r="B79" s="57"/>
      <c r="C79" s="57"/>
      <c r="D79" s="57"/>
      <c r="E79" s="30" t="s">
        <v>116</v>
      </c>
      <c r="F79" s="57"/>
      <c r="G79" s="57"/>
      <c r="L79" s="31">
        <v>1</v>
      </c>
    </row>
    <row r="80" spans="1:12">
      <c r="A80" s="57"/>
      <c r="B80" s="57"/>
      <c r="C80" s="57"/>
      <c r="D80" s="57"/>
      <c r="E80" s="30" t="s">
        <v>117</v>
      </c>
      <c r="F80" s="57"/>
      <c r="G80" s="57"/>
      <c r="L80" s="31">
        <v>0</v>
      </c>
    </row>
    <row r="81" spans="1:12">
      <c r="A81" s="57"/>
      <c r="B81" s="57"/>
      <c r="C81" s="57"/>
      <c r="D81" s="57"/>
      <c r="E81" s="30" t="s">
        <v>118</v>
      </c>
      <c r="F81" s="57"/>
      <c r="G81" s="57"/>
      <c r="L81" s="59">
        <v>1.5</v>
      </c>
    </row>
    <row r="82" spans="1:12" ht="29.1">
      <c r="A82" s="57"/>
      <c r="B82" s="57"/>
      <c r="C82" s="57"/>
      <c r="D82" s="57"/>
      <c r="E82" s="30" t="s">
        <v>119</v>
      </c>
      <c r="F82" s="57"/>
      <c r="G82" s="57"/>
      <c r="L82" s="61"/>
    </row>
    <row r="83" spans="1:12" s="42" customFormat="1">
      <c r="A83" s="39">
        <v>11</v>
      </c>
      <c r="B83" s="40" t="s">
        <v>120</v>
      </c>
      <c r="C83" s="40" t="s">
        <v>114</v>
      </c>
      <c r="D83" s="40" t="s">
        <v>107</v>
      </c>
      <c r="E83" s="41"/>
      <c r="F83" s="41" t="s">
        <v>115</v>
      </c>
      <c r="H83" s="40"/>
    </row>
    <row r="84" spans="1:12">
      <c r="A84" s="57"/>
      <c r="B84" s="57"/>
      <c r="C84" s="57"/>
      <c r="D84" s="57"/>
      <c r="E84" s="31" t="s">
        <v>121</v>
      </c>
      <c r="F84" s="57"/>
      <c r="G84" s="57"/>
      <c r="H84" s="36" t="s">
        <v>122</v>
      </c>
      <c r="J84" s="31">
        <v>100</v>
      </c>
      <c r="L84" s="31">
        <v>1</v>
      </c>
    </row>
    <row r="85" spans="1:12">
      <c r="A85" s="57"/>
      <c r="B85" s="57"/>
      <c r="C85" s="57"/>
      <c r="D85" s="57"/>
      <c r="E85" s="31" t="s">
        <v>123</v>
      </c>
      <c r="F85" s="57"/>
      <c r="G85" s="57"/>
      <c r="L85" s="31">
        <v>0.5</v>
      </c>
    </row>
    <row r="86" spans="1:12">
      <c r="A86" s="57"/>
      <c r="B86" s="57"/>
      <c r="C86" s="57"/>
      <c r="D86" s="57"/>
      <c r="E86" s="31" t="s">
        <v>124</v>
      </c>
      <c r="F86" s="57"/>
      <c r="G86" s="57"/>
      <c r="L86" s="31">
        <v>0.5</v>
      </c>
    </row>
    <row r="87" spans="1:12">
      <c r="A87" s="57"/>
      <c r="B87" s="57"/>
      <c r="C87" s="57"/>
      <c r="D87" s="57"/>
      <c r="E87" s="31" t="s">
        <v>125</v>
      </c>
      <c r="F87" s="57"/>
      <c r="G87" s="57"/>
      <c r="L87" s="31">
        <v>1</v>
      </c>
    </row>
    <row r="88" spans="1:12">
      <c r="A88" s="57"/>
      <c r="B88" s="57"/>
      <c r="C88" s="57"/>
      <c r="D88" s="57"/>
      <c r="E88" s="31" t="s">
        <v>126</v>
      </c>
      <c r="F88" s="57"/>
      <c r="G88" s="57"/>
      <c r="L88" s="31">
        <v>1</v>
      </c>
    </row>
    <row r="89" spans="1:12">
      <c r="A89" s="39">
        <v>12</v>
      </c>
      <c r="B89" s="40" t="s">
        <v>127</v>
      </c>
      <c r="C89" s="30" t="s">
        <v>115</v>
      </c>
      <c r="D89" s="30" t="s">
        <v>115</v>
      </c>
      <c r="F89" s="30" t="s">
        <v>115</v>
      </c>
      <c r="G89" s="30"/>
    </row>
    <row r="90" spans="1:12">
      <c r="A90" s="39">
        <v>13</v>
      </c>
      <c r="B90" s="40" t="s">
        <v>128</v>
      </c>
      <c r="C90" s="30" t="s">
        <v>115</v>
      </c>
      <c r="D90" s="30" t="s">
        <v>115</v>
      </c>
      <c r="F90" s="30" t="s">
        <v>115</v>
      </c>
      <c r="G90" s="30"/>
    </row>
    <row r="91" spans="1:12" s="42" customFormat="1">
      <c r="A91" s="39">
        <v>14</v>
      </c>
      <c r="B91" s="40" t="s">
        <v>129</v>
      </c>
      <c r="C91" s="40" t="s">
        <v>114</v>
      </c>
      <c r="D91" s="40" t="s">
        <v>107</v>
      </c>
      <c r="E91" s="41" t="s">
        <v>130</v>
      </c>
      <c r="F91" s="41" t="s">
        <v>115</v>
      </c>
      <c r="H91" s="40"/>
      <c r="J91" s="42">
        <v>0</v>
      </c>
    </row>
    <row r="92" spans="1:12" s="42" customFormat="1">
      <c r="A92" s="39">
        <v>15</v>
      </c>
      <c r="B92" s="40" t="s">
        <v>131</v>
      </c>
      <c r="C92" s="40" t="s">
        <v>114</v>
      </c>
      <c r="D92" s="40" t="s">
        <v>107</v>
      </c>
      <c r="E92" s="41" t="s">
        <v>132</v>
      </c>
      <c r="F92" s="41" t="s">
        <v>115</v>
      </c>
      <c r="H92" s="40"/>
      <c r="J92" s="42">
        <v>0</v>
      </c>
    </row>
  </sheetData>
  <mergeCells count="74">
    <mergeCell ref="L61:L64"/>
    <mergeCell ref="L66:L72"/>
    <mergeCell ref="L74:L75"/>
    <mergeCell ref="L81:L82"/>
    <mergeCell ref="L11:L15"/>
    <mergeCell ref="L22:L25"/>
    <mergeCell ref="L35:L40"/>
    <mergeCell ref="L42:L49"/>
    <mergeCell ref="L51:L59"/>
    <mergeCell ref="C66:C72"/>
    <mergeCell ref="D66:D72"/>
    <mergeCell ref="B42:B49"/>
    <mergeCell ref="C42:C49"/>
    <mergeCell ref="D42:D49"/>
    <mergeCell ref="B51:B59"/>
    <mergeCell ref="C51:C59"/>
    <mergeCell ref="D51:D59"/>
    <mergeCell ref="A3:A9"/>
    <mergeCell ref="F3:F9"/>
    <mergeCell ref="B22:B33"/>
    <mergeCell ref="C22:C33"/>
    <mergeCell ref="D22:D33"/>
    <mergeCell ref="B3:B9"/>
    <mergeCell ref="C3:C9"/>
    <mergeCell ref="D3:D9"/>
    <mergeCell ref="B11:B20"/>
    <mergeCell ref="C11:C20"/>
    <mergeCell ref="D11:D20"/>
    <mergeCell ref="A11:A20"/>
    <mergeCell ref="F11:F20"/>
    <mergeCell ref="G11:G20"/>
    <mergeCell ref="A22:A33"/>
    <mergeCell ref="F22:F33"/>
    <mergeCell ref="G22:G33"/>
    <mergeCell ref="G35:G40"/>
    <mergeCell ref="A35:A40"/>
    <mergeCell ref="F35:F40"/>
    <mergeCell ref="B35:B40"/>
    <mergeCell ref="C35:C40"/>
    <mergeCell ref="D35:D40"/>
    <mergeCell ref="A42:A49"/>
    <mergeCell ref="F42:F49"/>
    <mergeCell ref="G42:G49"/>
    <mergeCell ref="A51:A59"/>
    <mergeCell ref="F51:F59"/>
    <mergeCell ref="G51:G59"/>
    <mergeCell ref="G61:G64"/>
    <mergeCell ref="A66:A72"/>
    <mergeCell ref="F66:F72"/>
    <mergeCell ref="G66:G72"/>
    <mergeCell ref="A74:A77"/>
    <mergeCell ref="F74:F77"/>
    <mergeCell ref="G74:G77"/>
    <mergeCell ref="A61:A64"/>
    <mergeCell ref="F61:F64"/>
    <mergeCell ref="B74:B77"/>
    <mergeCell ref="C74:C77"/>
    <mergeCell ref="D74:D77"/>
    <mergeCell ref="B61:B64"/>
    <mergeCell ref="C61:C64"/>
    <mergeCell ref="D61:D64"/>
    <mergeCell ref="B66:B72"/>
    <mergeCell ref="A79:A82"/>
    <mergeCell ref="F79:F82"/>
    <mergeCell ref="G79:G82"/>
    <mergeCell ref="A84:A88"/>
    <mergeCell ref="F84:F88"/>
    <mergeCell ref="G84:G88"/>
    <mergeCell ref="B84:B88"/>
    <mergeCell ref="C84:C88"/>
    <mergeCell ref="D84:D88"/>
    <mergeCell ref="B79:B82"/>
    <mergeCell ref="C79:C82"/>
    <mergeCell ref="D79:D82"/>
  </mergeCells>
  <hyperlinks>
    <hyperlink ref="H3" location="'API Specfications'!A29" display="/dataclass" xr:uid="{D9F0426C-6085-4A9A-9AA9-BB7DCB634C0D}"/>
    <hyperlink ref="H4" location="'API Specfications'!A30" display="/datasetType?dataclass={dataclass}" xr:uid="{702C6C11-4874-4253-8A1A-1A155C1CFBD4}"/>
    <hyperlink ref="H5" location="'API Specfications'!A13" display="/dataframes?datasetType={}&amp;dataClass={}" xr:uid="{81223F0B-6D1D-44C6-B87E-CA8FF30DCD01}"/>
    <hyperlink ref="H20" location="'API Specfications'!A16" display="/queries/{queryName}/{version}/schema" xr:uid="{A8870D4A-BC5C-4D98-9DC1-E5C856640016}"/>
    <hyperlink ref="H30" location="'API Specfications'!A17" display="/requests" xr:uid="{04319EF3-5970-4726-A4AA-421FFA59DA8A}"/>
    <hyperlink ref="H32" location="'API Specfications'!A16" display="/queries/{queryName}/{version}/schema" xr:uid="{E716B9B1-BED2-42D7-8BE7-A224B2883259}"/>
    <hyperlink ref="H40" location="'API Specfications'!A16" display="/queries/{queryName}/{version}/schema" xr:uid="{5A9242A8-BE56-47F3-B523-FE5FE06DDFC9}"/>
    <hyperlink ref="H44" location="'API Specfications'!A22" display="/dataframes/{dataFrameName}" xr:uid="{7171521F-777D-4588-ACB4-C78512EE5D35}"/>
    <hyperlink ref="H45" location="'API Specfications'!A22" display="/dataframes/{dataFrameName}" xr:uid="{3E5E1E57-8BA8-4384-8B0B-FB0CAFA9B7C3}"/>
    <hyperlink ref="H49" location="'API Specfications'!A16" display="/queries/{queryName}/{version}/schema" xr:uid="{8E638DCE-7757-4168-952E-317A20D54065}"/>
    <hyperlink ref="H84" location="'API Specfications'!A9" display="/queries?status={status1,status2}" xr:uid="{4D55DFB7-C0EC-4280-840E-09A7CEEB2D6B}"/>
    <hyperlink ref="H6" location="'API Specfications'!A10" display="/queries/search?dataframes={dataframe1,dataframe2}" xr:uid="{CB40ECE4-36DF-4BEF-B9C2-4EFA2FE766D8}"/>
    <hyperlink ref="H8" location="'API Specfications'!A11" display="/queries/{queryname}/{Version}" xr:uid="{FCBF3716-B5F8-4858-8F36-34EAA9EF53BB}"/>
  </hyperlink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879C-46AC-4939-A8B0-FA7CB3F87205}">
  <dimension ref="A1:K6"/>
  <sheetViews>
    <sheetView workbookViewId="0">
      <selection activeCell="F25" sqref="F25"/>
    </sheetView>
  </sheetViews>
  <sheetFormatPr defaultRowHeight="14.45"/>
  <cols>
    <col min="1" max="1" width="7.5703125" bestFit="1" customWidth="1"/>
    <col min="2" max="2" width="20.85546875" bestFit="1" customWidth="1"/>
    <col min="3" max="4" width="8.28515625" bestFit="1" customWidth="1"/>
    <col min="5" max="5" width="4.140625" bestFit="1" customWidth="1"/>
    <col min="8" max="8" width="6.42578125" bestFit="1" customWidth="1"/>
  </cols>
  <sheetData>
    <row r="1" spans="1:11" ht="23.45" thickBot="1">
      <c r="A1" s="1" t="s">
        <v>133</v>
      </c>
      <c r="B1" s="1" t="s">
        <v>134</v>
      </c>
      <c r="C1" s="2">
        <v>44607</v>
      </c>
      <c r="D1" s="2">
        <v>44742</v>
      </c>
      <c r="E1" s="3">
        <v>0.15</v>
      </c>
      <c r="F1" s="1"/>
      <c r="G1" s="1" t="s">
        <v>135</v>
      </c>
      <c r="H1" s="1" t="s">
        <v>136</v>
      </c>
      <c r="I1" s="4"/>
      <c r="J1" s="4"/>
      <c r="K1" s="4"/>
    </row>
    <row r="2" spans="1:11" ht="23.45" thickBot="1">
      <c r="A2" s="1" t="s">
        <v>137</v>
      </c>
      <c r="B2" s="1" t="s">
        <v>138</v>
      </c>
      <c r="C2" s="2">
        <v>44607</v>
      </c>
      <c r="D2" s="2">
        <v>44666</v>
      </c>
      <c r="E2" s="3">
        <v>0.8</v>
      </c>
      <c r="F2" s="1"/>
      <c r="G2" s="1" t="s">
        <v>135</v>
      </c>
      <c r="H2" s="1" t="s">
        <v>136</v>
      </c>
      <c r="I2" s="4"/>
      <c r="J2" s="4"/>
      <c r="K2" s="4"/>
    </row>
    <row r="3" spans="1:11" ht="23.45" thickBot="1">
      <c r="A3" s="1" t="s">
        <v>139</v>
      </c>
      <c r="B3" s="1" t="s">
        <v>140</v>
      </c>
      <c r="C3" s="2">
        <v>44630</v>
      </c>
      <c r="D3" s="2">
        <v>44704</v>
      </c>
      <c r="E3" s="3">
        <v>0.22</v>
      </c>
      <c r="F3" s="1"/>
      <c r="G3" s="1" t="s">
        <v>135</v>
      </c>
      <c r="H3" s="1" t="s">
        <v>136</v>
      </c>
      <c r="I3" s="4"/>
      <c r="J3" s="4"/>
      <c r="K3" s="4"/>
    </row>
    <row r="4" spans="1:11" ht="23.45" thickBot="1">
      <c r="A4" s="1" t="s">
        <v>141</v>
      </c>
      <c r="B4" s="1" t="s">
        <v>142</v>
      </c>
      <c r="C4" s="2">
        <v>44705</v>
      </c>
      <c r="D4" s="2">
        <v>44725</v>
      </c>
      <c r="E4" s="3">
        <v>0</v>
      </c>
      <c r="F4" s="1"/>
      <c r="G4" s="1" t="s">
        <v>143</v>
      </c>
      <c r="H4" s="1" t="s">
        <v>136</v>
      </c>
      <c r="I4" s="4"/>
      <c r="J4" s="4"/>
      <c r="K4" s="4"/>
    </row>
    <row r="5" spans="1:11" ht="23.45" thickBot="1">
      <c r="A5" s="1" t="s">
        <v>144</v>
      </c>
      <c r="B5" s="1" t="s">
        <v>145</v>
      </c>
      <c r="C5" s="2">
        <v>44726</v>
      </c>
      <c r="D5" s="2">
        <v>44739</v>
      </c>
      <c r="E5" s="3">
        <v>0</v>
      </c>
      <c r="F5" s="1"/>
      <c r="G5" s="1" t="s">
        <v>143</v>
      </c>
      <c r="H5" s="1" t="s">
        <v>136</v>
      </c>
      <c r="I5" s="4"/>
      <c r="J5" s="4"/>
      <c r="K5" s="4"/>
    </row>
    <row r="6" spans="1:11" ht="23.45" thickBot="1">
      <c r="A6" s="1" t="s">
        <v>146</v>
      </c>
      <c r="B6" s="1" t="s">
        <v>147</v>
      </c>
      <c r="C6" s="2">
        <v>44742</v>
      </c>
      <c r="D6" s="2">
        <v>44742</v>
      </c>
      <c r="E6" s="3">
        <v>0</v>
      </c>
      <c r="F6" s="1"/>
      <c r="G6" s="1" t="s">
        <v>143</v>
      </c>
      <c r="H6" s="1" t="s">
        <v>136</v>
      </c>
      <c r="I6" s="4"/>
      <c r="J6" s="4"/>
      <c r="K6" s="4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F758-C44C-4595-8933-E3FE8D1004C3}">
  <dimension ref="A1:Q31"/>
  <sheetViews>
    <sheetView workbookViewId="0">
      <pane xSplit="3" ySplit="7" topLeftCell="D8" activePane="bottomRight" state="frozen"/>
      <selection pane="bottomRight" activeCell="P4" sqref="P4"/>
      <selection pane="bottomLeft" activeCell="A8" sqref="A8"/>
      <selection pane="topRight" activeCell="D1" sqref="D1"/>
    </sheetView>
  </sheetViews>
  <sheetFormatPr defaultRowHeight="14.45"/>
  <cols>
    <col min="1" max="1" width="5" customWidth="1"/>
    <col min="2" max="2" width="19.42578125" customWidth="1"/>
    <col min="3" max="3" width="63.5703125" customWidth="1"/>
    <col min="4" max="4" width="13.7109375" customWidth="1"/>
    <col min="5" max="5" width="12.85546875" customWidth="1"/>
    <col min="6" max="6" width="18.85546875" customWidth="1"/>
    <col min="7" max="7" width="14.7109375" customWidth="1"/>
    <col min="8" max="8" width="19" customWidth="1"/>
    <col min="9" max="9" width="12.5703125" customWidth="1"/>
    <col min="10" max="10" width="14.140625" customWidth="1"/>
    <col min="11" max="11" width="10.85546875" bestFit="1" customWidth="1"/>
    <col min="12" max="12" width="18.28515625" customWidth="1"/>
    <col min="13" max="13" width="17.42578125" customWidth="1"/>
    <col min="14" max="14" width="10.85546875" bestFit="1" customWidth="1"/>
  </cols>
  <sheetData>
    <row r="1" spans="1:17" s="6" customFormat="1" ht="28.5" customHeight="1">
      <c r="A1" s="62" t="s">
        <v>148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7"/>
      <c r="N1" s="7"/>
      <c r="O1" s="7"/>
      <c r="P1" s="7"/>
      <c r="Q1" s="7"/>
    </row>
    <row r="2" spans="1:17">
      <c r="A2" s="9" t="s">
        <v>149</v>
      </c>
      <c r="D2" s="68"/>
      <c r="E2" s="68"/>
      <c r="F2" s="68"/>
      <c r="G2" s="68"/>
      <c r="H2" s="68"/>
      <c r="I2" s="68"/>
      <c r="J2" s="68"/>
      <c r="K2" s="68"/>
      <c r="L2" s="68"/>
      <c r="N2" s="53" t="s">
        <v>150</v>
      </c>
      <c r="O2" s="53">
        <f>COUNTIF(M:M,N2)</f>
        <v>6</v>
      </c>
    </row>
    <row r="3" spans="1:17">
      <c r="B3" s="9" t="s">
        <v>151</v>
      </c>
      <c r="C3" t="s">
        <v>152</v>
      </c>
      <c r="D3" s="68"/>
      <c r="E3" s="68"/>
      <c r="F3" s="68"/>
      <c r="G3" s="68"/>
      <c r="H3" s="68"/>
      <c r="I3" s="68"/>
      <c r="J3" s="68"/>
      <c r="K3" s="68"/>
      <c r="L3" s="68"/>
      <c r="N3" s="53" t="s">
        <v>153</v>
      </c>
      <c r="O3" s="53">
        <f>COUNTIF(M:M,N3)</f>
        <v>14</v>
      </c>
    </row>
    <row r="4" spans="1:17">
      <c r="B4" s="9" t="s">
        <v>154</v>
      </c>
      <c r="C4" t="s">
        <v>155</v>
      </c>
      <c r="D4" s="68"/>
      <c r="E4" s="68"/>
      <c r="F4" s="68"/>
      <c r="G4" s="68"/>
      <c r="H4" s="68"/>
      <c r="I4" s="68"/>
      <c r="J4" s="68"/>
      <c r="K4" s="68"/>
      <c r="L4" s="68"/>
      <c r="N4" s="53" t="s">
        <v>156</v>
      </c>
      <c r="O4" s="53">
        <f>COUNTIF(M:M,N4)</f>
        <v>2</v>
      </c>
    </row>
    <row r="5" spans="1:17" ht="15.75" customHeight="1">
      <c r="B5" s="9" t="s">
        <v>157</v>
      </c>
      <c r="C5" t="s">
        <v>158</v>
      </c>
      <c r="D5" s="69"/>
      <c r="E5" s="69"/>
      <c r="F5" s="69"/>
      <c r="G5" s="69"/>
      <c r="H5" s="69"/>
      <c r="I5" s="69"/>
      <c r="J5" s="69"/>
      <c r="K5" s="69"/>
      <c r="L5" s="69"/>
      <c r="N5" s="54" t="s">
        <v>159</v>
      </c>
      <c r="O5" s="54">
        <f>SUM(O2:O4)</f>
        <v>22</v>
      </c>
    </row>
    <row r="6" spans="1:17" s="8" customFormat="1" ht="15.75" customHeight="1">
      <c r="A6" s="67" t="s">
        <v>0</v>
      </c>
      <c r="B6" s="67" t="s">
        <v>160</v>
      </c>
      <c r="C6" s="67" t="s">
        <v>7</v>
      </c>
      <c r="D6" s="66" t="s">
        <v>161</v>
      </c>
      <c r="E6" s="66"/>
      <c r="F6" s="66"/>
      <c r="G6" s="66"/>
      <c r="H6" s="66"/>
      <c r="I6" s="66"/>
      <c r="J6" s="66"/>
      <c r="K6" s="66"/>
      <c r="L6" s="48" t="s">
        <v>162</v>
      </c>
      <c r="M6" s="64" t="s">
        <v>163</v>
      </c>
    </row>
    <row r="7" spans="1:17" s="8" customFormat="1">
      <c r="A7" s="67"/>
      <c r="B7" s="67"/>
      <c r="C7" s="67"/>
      <c r="D7" s="12" t="s">
        <v>164</v>
      </c>
      <c r="E7" s="13" t="s">
        <v>165</v>
      </c>
      <c r="F7" s="12" t="s">
        <v>166</v>
      </c>
      <c r="G7" s="13" t="s">
        <v>165</v>
      </c>
      <c r="H7" s="12" t="s">
        <v>167</v>
      </c>
      <c r="I7" s="13" t="s">
        <v>165</v>
      </c>
      <c r="J7" s="12" t="s">
        <v>168</v>
      </c>
      <c r="K7" s="13" t="s">
        <v>165</v>
      </c>
      <c r="L7" s="49" t="s">
        <v>169</v>
      </c>
      <c r="M7" s="65"/>
    </row>
    <row r="8" spans="1:17" ht="0.75" customHeight="1">
      <c r="A8" s="5"/>
      <c r="B8" s="5"/>
      <c r="C8" s="5"/>
      <c r="D8" s="10"/>
      <c r="E8" s="11"/>
      <c r="F8" s="10"/>
      <c r="G8" s="11"/>
      <c r="H8" s="10"/>
      <c r="I8" s="11"/>
      <c r="J8" s="10"/>
      <c r="K8" s="11"/>
      <c r="L8" s="10"/>
      <c r="M8" s="31"/>
    </row>
    <row r="9" spans="1:17" ht="39">
      <c r="A9" s="14">
        <v>1</v>
      </c>
      <c r="B9" s="14" t="s">
        <v>170</v>
      </c>
      <c r="C9" s="15" t="s">
        <v>171</v>
      </c>
      <c r="D9" s="16" t="s">
        <v>172</v>
      </c>
      <c r="E9" s="17" t="s">
        <v>157</v>
      </c>
      <c r="F9" s="16" t="s">
        <v>173</v>
      </c>
      <c r="G9" s="17" t="s">
        <v>151</v>
      </c>
      <c r="H9" s="18" t="s">
        <v>174</v>
      </c>
      <c r="I9" s="19"/>
      <c r="J9" s="18" t="s">
        <v>175</v>
      </c>
      <c r="K9" s="17"/>
      <c r="L9" s="50" t="s">
        <v>176</v>
      </c>
      <c r="M9" s="31" t="s">
        <v>150</v>
      </c>
    </row>
    <row r="10" spans="1:17" ht="15.95">
      <c r="A10" s="14"/>
      <c r="B10" s="14"/>
      <c r="C10" s="15" t="s">
        <v>177</v>
      </c>
      <c r="D10" s="16"/>
      <c r="E10" s="17"/>
      <c r="F10" s="16"/>
      <c r="G10" s="17"/>
      <c r="H10" s="18"/>
      <c r="I10" s="19"/>
      <c r="J10" s="18"/>
      <c r="K10" s="17"/>
      <c r="L10" s="50"/>
      <c r="M10" s="31"/>
    </row>
    <row r="11" spans="1:17" ht="78">
      <c r="A11" s="14">
        <v>2</v>
      </c>
      <c r="B11" s="14" t="s">
        <v>170</v>
      </c>
      <c r="C11" s="15" t="s">
        <v>178</v>
      </c>
      <c r="D11" s="16" t="s">
        <v>115</v>
      </c>
      <c r="E11" s="17"/>
      <c r="F11" s="16" t="s">
        <v>179</v>
      </c>
      <c r="G11" s="17" t="s">
        <v>151</v>
      </c>
      <c r="H11" s="16" t="s">
        <v>180</v>
      </c>
      <c r="I11" s="17" t="s">
        <v>157</v>
      </c>
      <c r="J11" s="18" t="s">
        <v>181</v>
      </c>
      <c r="K11" s="17"/>
      <c r="L11" s="50" t="s">
        <v>182</v>
      </c>
      <c r="M11" s="31" t="s">
        <v>150</v>
      </c>
    </row>
    <row r="12" spans="1:17" ht="51.95">
      <c r="A12" s="14">
        <v>3</v>
      </c>
      <c r="B12" s="14" t="s">
        <v>170</v>
      </c>
      <c r="C12" s="15" t="s">
        <v>183</v>
      </c>
      <c r="D12" s="16" t="s">
        <v>184</v>
      </c>
      <c r="E12" s="17" t="s">
        <v>154</v>
      </c>
      <c r="F12" s="16" t="s">
        <v>185</v>
      </c>
      <c r="G12" s="17" t="s">
        <v>151</v>
      </c>
      <c r="H12" s="16" t="s">
        <v>186</v>
      </c>
      <c r="I12" s="17" t="s">
        <v>157</v>
      </c>
      <c r="J12" s="18" t="s">
        <v>187</v>
      </c>
      <c r="K12" s="17"/>
      <c r="L12" s="50" t="s">
        <v>188</v>
      </c>
      <c r="M12" s="31" t="s">
        <v>153</v>
      </c>
    </row>
    <row r="13" spans="1:17" ht="39">
      <c r="A13" s="14">
        <v>4</v>
      </c>
      <c r="B13" s="14" t="s">
        <v>170</v>
      </c>
      <c r="C13" s="15" t="s">
        <v>189</v>
      </c>
      <c r="D13" s="16" t="s">
        <v>190</v>
      </c>
      <c r="E13" s="17" t="s">
        <v>157</v>
      </c>
      <c r="F13" s="16" t="s">
        <v>191</v>
      </c>
      <c r="G13" s="17" t="s">
        <v>151</v>
      </c>
      <c r="H13" s="18" t="s">
        <v>174</v>
      </c>
      <c r="I13" s="19"/>
      <c r="J13" s="16" t="s">
        <v>115</v>
      </c>
      <c r="K13" s="17"/>
      <c r="L13" s="50" t="s">
        <v>188</v>
      </c>
      <c r="M13" s="31" t="s">
        <v>153</v>
      </c>
    </row>
    <row r="14" spans="1:17" ht="26.1">
      <c r="A14" s="14">
        <v>5</v>
      </c>
      <c r="B14" s="14" t="s">
        <v>170</v>
      </c>
      <c r="C14" s="15" t="s">
        <v>192</v>
      </c>
      <c r="D14" s="16" t="s">
        <v>193</v>
      </c>
      <c r="E14" s="17" t="s">
        <v>157</v>
      </c>
      <c r="F14" s="16" t="s">
        <v>194</v>
      </c>
      <c r="G14" s="17" t="s">
        <v>151</v>
      </c>
      <c r="H14" s="16" t="s">
        <v>195</v>
      </c>
      <c r="I14" s="17" t="s">
        <v>157</v>
      </c>
      <c r="J14" s="16" t="s">
        <v>115</v>
      </c>
      <c r="K14" s="17"/>
      <c r="L14" s="50" t="s">
        <v>188</v>
      </c>
      <c r="M14" s="31" t="s">
        <v>153</v>
      </c>
    </row>
    <row r="15" spans="1:17" ht="26.1">
      <c r="A15" s="14">
        <v>6</v>
      </c>
      <c r="B15" s="14" t="s">
        <v>170</v>
      </c>
      <c r="C15" s="15" t="s">
        <v>196</v>
      </c>
      <c r="D15" s="16" t="s">
        <v>197</v>
      </c>
      <c r="E15" s="17" t="s">
        <v>157</v>
      </c>
      <c r="F15" s="16" t="s">
        <v>198</v>
      </c>
      <c r="G15" s="17" t="s">
        <v>151</v>
      </c>
      <c r="H15" s="16" t="s">
        <v>199</v>
      </c>
      <c r="I15" s="17" t="s">
        <v>157</v>
      </c>
      <c r="J15" s="16" t="s">
        <v>115</v>
      </c>
      <c r="K15" s="17"/>
      <c r="L15" s="50" t="s">
        <v>188</v>
      </c>
      <c r="M15" s="31" t="s">
        <v>153</v>
      </c>
    </row>
    <row r="16" spans="1:17" ht="39">
      <c r="A16" s="14">
        <v>7</v>
      </c>
      <c r="B16" s="14" t="s">
        <v>170</v>
      </c>
      <c r="C16" s="15" t="s">
        <v>200</v>
      </c>
      <c r="D16" s="16" t="s">
        <v>201</v>
      </c>
      <c r="E16" s="17" t="s">
        <v>157</v>
      </c>
      <c r="F16" s="16" t="s">
        <v>202</v>
      </c>
      <c r="G16" s="17" t="s">
        <v>151</v>
      </c>
      <c r="H16" s="16" t="s">
        <v>203</v>
      </c>
      <c r="I16" s="17" t="s">
        <v>157</v>
      </c>
      <c r="J16" s="16" t="s">
        <v>115</v>
      </c>
      <c r="K16" s="17"/>
      <c r="L16" s="50" t="s">
        <v>188</v>
      </c>
      <c r="M16" s="31" t="s">
        <v>153</v>
      </c>
    </row>
    <row r="17" spans="1:13" ht="90.95">
      <c r="A17" s="14">
        <v>8</v>
      </c>
      <c r="B17" s="14" t="s">
        <v>170</v>
      </c>
      <c r="C17" s="15" t="s">
        <v>44</v>
      </c>
      <c r="D17" s="16" t="s">
        <v>204</v>
      </c>
      <c r="E17" s="17" t="s">
        <v>157</v>
      </c>
      <c r="F17" s="16" t="s">
        <v>205</v>
      </c>
      <c r="G17" s="17" t="s">
        <v>151</v>
      </c>
      <c r="H17" s="16" t="s">
        <v>206</v>
      </c>
      <c r="I17" s="17" t="s">
        <v>157</v>
      </c>
      <c r="J17" s="16" t="s">
        <v>115</v>
      </c>
      <c r="K17" s="17"/>
      <c r="L17" s="50" t="s">
        <v>207</v>
      </c>
      <c r="M17" s="31" t="s">
        <v>153</v>
      </c>
    </row>
    <row r="18" spans="1:13" ht="51.95">
      <c r="A18" s="14">
        <v>9</v>
      </c>
      <c r="B18" s="14" t="s">
        <v>170</v>
      </c>
      <c r="C18" s="15" t="s">
        <v>208</v>
      </c>
      <c r="D18" s="16" t="s">
        <v>115</v>
      </c>
      <c r="E18" s="17"/>
      <c r="F18" s="16" t="s">
        <v>209</v>
      </c>
      <c r="G18" s="17" t="s">
        <v>151</v>
      </c>
      <c r="H18" s="16" t="s">
        <v>115</v>
      </c>
      <c r="I18" s="17"/>
      <c r="J18" s="16" t="s">
        <v>115</v>
      </c>
      <c r="K18" s="17"/>
      <c r="L18" s="50" t="s">
        <v>210</v>
      </c>
      <c r="M18" s="31" t="s">
        <v>153</v>
      </c>
    </row>
    <row r="19" spans="1:13" ht="65.099999999999994">
      <c r="A19" s="14">
        <v>10</v>
      </c>
      <c r="B19" s="14" t="s">
        <v>170</v>
      </c>
      <c r="C19" s="15" t="s">
        <v>211</v>
      </c>
      <c r="D19" s="16" t="s">
        <v>212</v>
      </c>
      <c r="E19" s="17" t="s">
        <v>157</v>
      </c>
      <c r="F19" s="16" t="s">
        <v>213</v>
      </c>
      <c r="G19" s="17" t="s">
        <v>151</v>
      </c>
      <c r="H19" s="16" t="s">
        <v>115</v>
      </c>
      <c r="I19" s="17"/>
      <c r="J19" s="18" t="s">
        <v>214</v>
      </c>
      <c r="K19" s="17"/>
      <c r="L19" s="50" t="s">
        <v>215</v>
      </c>
      <c r="M19" s="31" t="s">
        <v>153</v>
      </c>
    </row>
    <row r="20" spans="1:13" ht="39">
      <c r="A20" s="14">
        <v>11</v>
      </c>
      <c r="B20" s="14" t="s">
        <v>170</v>
      </c>
      <c r="C20" s="15" t="s">
        <v>216</v>
      </c>
      <c r="D20" s="16" t="s">
        <v>115</v>
      </c>
      <c r="E20" s="17"/>
      <c r="F20" s="16" t="s">
        <v>217</v>
      </c>
      <c r="G20" s="17" t="s">
        <v>151</v>
      </c>
      <c r="H20" s="16" t="s">
        <v>115</v>
      </c>
      <c r="I20" s="17"/>
      <c r="J20" s="16" t="s">
        <v>115</v>
      </c>
      <c r="K20" s="17"/>
      <c r="L20" s="50" t="s">
        <v>218</v>
      </c>
      <c r="M20" s="31" t="s">
        <v>156</v>
      </c>
    </row>
    <row r="21" spans="1:13" ht="39">
      <c r="A21" s="14">
        <v>12</v>
      </c>
      <c r="B21" s="14" t="s">
        <v>170</v>
      </c>
      <c r="C21" s="15" t="s">
        <v>219</v>
      </c>
      <c r="D21" s="16" t="s">
        <v>220</v>
      </c>
      <c r="E21" s="17"/>
      <c r="F21" s="16" t="s">
        <v>115</v>
      </c>
      <c r="G21" s="17"/>
      <c r="H21" s="16" t="s">
        <v>115</v>
      </c>
      <c r="I21" s="17"/>
      <c r="J21" s="16" t="s">
        <v>115</v>
      </c>
      <c r="K21" s="17"/>
      <c r="L21" s="50" t="s">
        <v>221</v>
      </c>
      <c r="M21" s="31" t="s">
        <v>153</v>
      </c>
    </row>
    <row r="22" spans="1:13" ht="39">
      <c r="A22" s="14">
        <v>13</v>
      </c>
      <c r="B22" s="14" t="s">
        <v>222</v>
      </c>
      <c r="C22" s="15" t="s">
        <v>23</v>
      </c>
      <c r="D22" s="16" t="s">
        <v>115</v>
      </c>
      <c r="E22" s="17"/>
      <c r="F22" s="16" t="s">
        <v>223</v>
      </c>
      <c r="G22" s="17" t="s">
        <v>151</v>
      </c>
      <c r="H22" s="16" t="s">
        <v>115</v>
      </c>
      <c r="I22" s="17"/>
      <c r="J22" s="16" t="s">
        <v>115</v>
      </c>
      <c r="K22" s="17"/>
      <c r="L22" s="50" t="s">
        <v>224</v>
      </c>
      <c r="M22" s="31" t="s">
        <v>150</v>
      </c>
    </row>
    <row r="23" spans="1:13" ht="26.1">
      <c r="A23" s="14">
        <v>14</v>
      </c>
      <c r="B23" s="14" t="s">
        <v>222</v>
      </c>
      <c r="C23" s="15" t="s">
        <v>68</v>
      </c>
      <c r="D23" s="16" t="s">
        <v>225</v>
      </c>
      <c r="E23" s="17"/>
      <c r="F23" s="16" t="s">
        <v>226</v>
      </c>
      <c r="G23" s="17" t="s">
        <v>151</v>
      </c>
      <c r="H23" s="16" t="s">
        <v>115</v>
      </c>
      <c r="I23" s="17"/>
      <c r="J23" s="16" t="s">
        <v>115</v>
      </c>
      <c r="K23" s="17"/>
      <c r="L23" s="50" t="s">
        <v>224</v>
      </c>
      <c r="M23" s="31" t="s">
        <v>153</v>
      </c>
    </row>
    <row r="24" spans="1:13" ht="39">
      <c r="A24" s="14">
        <v>15</v>
      </c>
      <c r="B24" s="14" t="s">
        <v>222</v>
      </c>
      <c r="C24" s="15" t="s">
        <v>227</v>
      </c>
      <c r="D24" s="16" t="s">
        <v>225</v>
      </c>
      <c r="E24" s="17"/>
      <c r="F24" s="16" t="s">
        <v>228</v>
      </c>
      <c r="G24" s="17" t="s">
        <v>151</v>
      </c>
      <c r="H24" s="16" t="s">
        <v>115</v>
      </c>
      <c r="I24" s="17"/>
      <c r="J24" s="16" t="s">
        <v>115</v>
      </c>
      <c r="K24" s="17"/>
      <c r="L24" s="50" t="s">
        <v>229</v>
      </c>
      <c r="M24" s="31" t="s">
        <v>153</v>
      </c>
    </row>
    <row r="25" spans="1:13" ht="51.95">
      <c r="A25" s="14">
        <v>16</v>
      </c>
      <c r="B25" s="14" t="s">
        <v>222</v>
      </c>
      <c r="C25" s="15" t="s">
        <v>230</v>
      </c>
      <c r="D25" s="16" t="s">
        <v>115</v>
      </c>
      <c r="E25" s="17"/>
      <c r="F25" s="16" t="s">
        <v>231</v>
      </c>
      <c r="G25" s="17" t="s">
        <v>151</v>
      </c>
      <c r="H25" s="16" t="s">
        <v>115</v>
      </c>
      <c r="I25" s="17"/>
      <c r="J25" s="16" t="s">
        <v>115</v>
      </c>
      <c r="K25" s="17"/>
      <c r="L25" s="50" t="s">
        <v>222</v>
      </c>
      <c r="M25" s="31" t="s">
        <v>150</v>
      </c>
    </row>
    <row r="26" spans="1:13" ht="51.95">
      <c r="A26" s="14">
        <v>17</v>
      </c>
      <c r="B26" s="14" t="s">
        <v>232</v>
      </c>
      <c r="C26" s="15" t="s">
        <v>48</v>
      </c>
      <c r="D26" s="16" t="s">
        <v>233</v>
      </c>
      <c r="E26" s="17" t="s">
        <v>151</v>
      </c>
      <c r="F26" s="16" t="s">
        <v>234</v>
      </c>
      <c r="G26" s="17" t="s">
        <v>151</v>
      </c>
      <c r="H26" s="18" t="s">
        <v>235</v>
      </c>
      <c r="I26" s="19"/>
      <c r="J26" s="18" t="s">
        <v>236</v>
      </c>
      <c r="K26" s="17"/>
      <c r="L26" s="50" t="s">
        <v>237</v>
      </c>
      <c r="M26" s="31" t="s">
        <v>156</v>
      </c>
    </row>
    <row r="27" spans="1:13" ht="26.1">
      <c r="A27" s="14">
        <v>18</v>
      </c>
      <c r="B27" s="14" t="s">
        <v>232</v>
      </c>
      <c r="C27" s="15" t="s">
        <v>238</v>
      </c>
      <c r="D27" s="16" t="s">
        <v>225</v>
      </c>
      <c r="E27" s="17"/>
      <c r="F27" s="16" t="s">
        <v>239</v>
      </c>
      <c r="G27" s="17" t="s">
        <v>151</v>
      </c>
      <c r="H27" s="16" t="s">
        <v>115</v>
      </c>
      <c r="I27" s="17"/>
      <c r="J27" s="16" t="s">
        <v>115</v>
      </c>
      <c r="K27" s="17"/>
      <c r="L27" s="50" t="s">
        <v>240</v>
      </c>
      <c r="M27" s="31" t="s">
        <v>153</v>
      </c>
    </row>
    <row r="28" spans="1:13" ht="26.1">
      <c r="A28" s="14">
        <v>19</v>
      </c>
      <c r="B28" s="14" t="s">
        <v>232</v>
      </c>
      <c r="C28" s="15" t="s">
        <v>241</v>
      </c>
      <c r="D28" s="16" t="s">
        <v>115</v>
      </c>
      <c r="E28" s="17"/>
      <c r="F28" s="16" t="s">
        <v>242</v>
      </c>
      <c r="G28" s="17" t="s">
        <v>151</v>
      </c>
      <c r="H28" s="16" t="s">
        <v>115</v>
      </c>
      <c r="I28" s="17"/>
      <c r="J28" s="16" t="s">
        <v>115</v>
      </c>
      <c r="K28" s="17"/>
      <c r="L28" s="50" t="s">
        <v>240</v>
      </c>
      <c r="M28" s="31" t="s">
        <v>153</v>
      </c>
    </row>
    <row r="29" spans="1:13" ht="15.95">
      <c r="A29" s="14">
        <v>20</v>
      </c>
      <c r="B29" s="14" t="s">
        <v>232</v>
      </c>
      <c r="C29" s="15" t="s">
        <v>243</v>
      </c>
      <c r="D29" s="20"/>
      <c r="E29" s="21"/>
      <c r="F29" s="20"/>
      <c r="G29" s="21"/>
      <c r="H29" s="20"/>
      <c r="I29" s="21"/>
      <c r="J29" s="20"/>
      <c r="K29" s="21"/>
      <c r="L29" s="51"/>
      <c r="M29" s="31" t="s">
        <v>153</v>
      </c>
    </row>
    <row r="30" spans="1:13" ht="26.1">
      <c r="A30" s="22">
        <v>21</v>
      </c>
      <c r="B30" s="22" t="s">
        <v>244</v>
      </c>
      <c r="C30" s="23" t="s">
        <v>19</v>
      </c>
      <c r="D30" s="24" t="s">
        <v>115</v>
      </c>
      <c r="F30" s="24" t="s">
        <v>245</v>
      </c>
      <c r="G30" s="17" t="s">
        <v>151</v>
      </c>
      <c r="H30" s="24" t="s">
        <v>115</v>
      </c>
      <c r="J30" s="24" t="s">
        <v>115</v>
      </c>
      <c r="L30" s="52" t="s">
        <v>244</v>
      </c>
      <c r="M30" s="31" t="s">
        <v>150</v>
      </c>
    </row>
    <row r="31" spans="1:13" ht="39">
      <c r="A31" s="22">
        <v>22</v>
      </c>
      <c r="B31" s="22" t="s">
        <v>246</v>
      </c>
      <c r="C31" s="23" t="s">
        <v>247</v>
      </c>
      <c r="D31" s="24" t="s">
        <v>115</v>
      </c>
      <c r="F31" s="24" t="s">
        <v>248</v>
      </c>
      <c r="G31" s="17" t="s">
        <v>151</v>
      </c>
      <c r="H31" s="24" t="s">
        <v>115</v>
      </c>
      <c r="J31" s="24" t="s">
        <v>115</v>
      </c>
      <c r="L31" s="52" t="s">
        <v>246</v>
      </c>
      <c r="M31" s="31" t="s">
        <v>150</v>
      </c>
    </row>
  </sheetData>
  <mergeCells count="7">
    <mergeCell ref="A1:L1"/>
    <mergeCell ref="D2:L5"/>
    <mergeCell ref="M6:M7"/>
    <mergeCell ref="D6:K6"/>
    <mergeCell ref="A6:A7"/>
    <mergeCell ref="B6:B7"/>
    <mergeCell ref="C6:C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3eb21e-e63b-4738-88b8-d2c5ba6a5d43">
      <UserInfo>
        <DisplayName>Nambuthodiyil, Prasob</DisplayName>
        <AccountId>586</AccountId>
        <AccountType/>
      </UserInfo>
      <UserInfo>
        <DisplayName>Kandula, Krishna Chandar</DisplayName>
        <AccountId>994</AccountId>
        <AccountType/>
      </UserInfo>
      <UserInfo>
        <DisplayName>Ansari, Meraj Husen</DisplayName>
        <AccountId>1364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2C006153F8949BE0493D1EC10F872" ma:contentTypeVersion="10" ma:contentTypeDescription="Create a new document." ma:contentTypeScope="" ma:versionID="b878721886bbf4edbe9ee5143d4f565b">
  <xsd:schema xmlns:xsd="http://www.w3.org/2001/XMLSchema" xmlns:xs="http://www.w3.org/2001/XMLSchema" xmlns:p="http://schemas.microsoft.com/office/2006/metadata/properties" xmlns:ns2="3d0f4163-bea8-437f-af63-2335afd6c69a" xmlns:ns3="f53eb21e-e63b-4738-88b8-d2c5ba6a5d43" targetNamespace="http://schemas.microsoft.com/office/2006/metadata/properties" ma:root="true" ma:fieldsID="a3fc8255a5dcc9c9dca8b93c86b8f111" ns2:_="" ns3:_="">
    <xsd:import namespace="3d0f4163-bea8-437f-af63-2335afd6c69a"/>
    <xsd:import namespace="f53eb21e-e63b-4738-88b8-d2c5ba6a5d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f4163-bea8-437f-af63-2335afd6c6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eb21e-e63b-4738-88b8-d2c5ba6a5d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f5af0f96-557c-40e5-b74f-4de88d247c44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3A3A03-43E6-41F5-B739-51C9C0AA77A0}"/>
</file>

<file path=customXml/itemProps2.xml><?xml version="1.0" encoding="utf-8"?>
<ds:datastoreItem xmlns:ds="http://schemas.openxmlformats.org/officeDocument/2006/customXml" ds:itemID="{73960C7E-11B0-4D76-AE9C-0D3C838A3D0F}"/>
</file>

<file path=customXml/itemProps3.xml><?xml version="1.0" encoding="utf-8"?>
<ds:datastoreItem xmlns:ds="http://schemas.openxmlformats.org/officeDocument/2006/customXml" ds:itemID="{55B0EDAF-D94C-454A-83B5-24E0EF3A861B}"/>
</file>

<file path=customXml/itemProps4.xml><?xml version="1.0" encoding="utf-8"?>
<ds:datastoreItem xmlns:ds="http://schemas.openxmlformats.org/officeDocument/2006/customXml" ds:itemID="{9C645298-333A-4E61-80B6-98A605DEC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Nagarajan, Krishnaraj</dc:creator>
  <cp:keywords/>
  <dc:description/>
  <cp:lastModifiedBy/>
  <cp:revision/>
  <dcterms:created xsi:type="dcterms:W3CDTF">2022-03-21T18:20:06Z</dcterms:created>
  <dcterms:modified xsi:type="dcterms:W3CDTF">2022-04-06T23:05:14Z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0x010100EB92C006153F8949BE0493D1EC10F872</vt:lpwstr>
  </property>
  <property fmtid="{D5CDD505-2E9C-101B-9397-08002B2CF9AE}" pid="3" name="TaxKeyword">
    <vt:lpwstr/>
  </property>
  <property fmtid="{D5CDD505-2E9C-101B-9397-08002B2CF9AE}" pid="4" name="TaxCatchAll">
    <vt:lpwstr/>
  </property>
  <property fmtid="{D5CDD505-2E9C-101B-9397-08002B2CF9AE}" pid="5" name="TaxKeywordTaxHTField">
    <vt:lpwstr/>
  </property>
  <property fmtid="{D5CDD505-2E9C-101B-9397-08002B2CF9AE}" pid="6" name="ML_LineOfBusiness">
    <vt:lpwstr/>
  </property>
  <property fmtid="{D5CDD505-2E9C-101B-9397-08002B2CF9AE}" pid="7" name="ML_OfficeLocation">
    <vt:lpwstr/>
  </property>
  <property fmtid="{D5CDD505-2E9C-101B-9397-08002B2CF9AE}" pid="8" name="aa413b61045448e6bc230aa29a84eb0b">
    <vt:lpwstr/>
  </property>
  <property fmtid="{D5CDD505-2E9C-101B-9397-08002B2CF9AE}" pid="9" name="hae69c9a3b974f6ea09ed5059cd93782">
    <vt:lpwstr/>
  </property>
  <property fmtid="{D5CDD505-2E9C-101B-9397-08002B2CF9AE}" pid="10" name="o2a67a7f239d463099c84f831d9f71a7">
    <vt:lpwstr/>
  </property>
  <property fmtid="{D5CDD505-2E9C-101B-9397-08002B2CF9AE}" pid="11" name="ML_Roles">
    <vt:lpwstr/>
  </property>
  <property fmtid="{D5CDD505-2E9C-101B-9397-08002B2CF9AE}" pid="12" name="ML_Geography">
    <vt:lpwstr/>
  </property>
  <property fmtid="{D5CDD505-2E9C-101B-9397-08002B2CF9AE}" pid="13" name="pc3a60732cff4bd6a1032848edf6a57b">
    <vt:lpwstr/>
  </property>
</Properties>
</file>